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New folder\"/>
    </mc:Choice>
  </mc:AlternateContent>
  <xr:revisionPtr revIDLastSave="0" documentId="13_ncr:1_{E6B3B33D-02CE-48FC-90E9-0A013C576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Sheet2" sheetId="2" r:id="rId2"/>
  </sheets>
  <definedNames>
    <definedName name="_xlnm._FilterDatabase" localSheetId="0" hidden="1">Data!$A$1:$U$1005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 s="1"/>
  <c r="G183" i="1" a="1"/>
  <c r="G183" i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/>
  <c r="G191" i="1" a="1"/>
  <c r="G191" i="1" s="1"/>
  <c r="G192" i="1" a="1"/>
  <c r="G192" i="1" s="1"/>
  <c r="G193" i="1" a="1"/>
  <c r="G193" i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/>
  <c r="G201" i="1" a="1"/>
  <c r="G201" i="1" s="1"/>
  <c r="G202" i="1" a="1"/>
  <c r="G202" i="1" s="1"/>
  <c r="G203" i="1" a="1"/>
  <c r="G203" i="1" s="1"/>
  <c r="G204" i="1" a="1"/>
  <c r="G204" i="1" s="1"/>
  <c r="G205" i="1" a="1"/>
  <c r="G205" i="1"/>
  <c r="G206" i="1" a="1"/>
  <c r="G206" i="1" s="1"/>
  <c r="G207" i="1" a="1"/>
  <c r="G207" i="1"/>
  <c r="G208" i="1" a="1"/>
  <c r="G208" i="1" s="1"/>
  <c r="G209" i="1" a="1"/>
  <c r="G209" i="1" s="1"/>
  <c r="G210" i="1" a="1"/>
  <c r="G210" i="1" s="1"/>
  <c r="G211" i="1" a="1"/>
  <c r="G211" i="1" s="1"/>
  <c r="G212" i="1" a="1"/>
  <c r="G212" i="1"/>
  <c r="G213" i="1" a="1"/>
  <c r="G213" i="1" s="1"/>
  <c r="G214" i="1" a="1"/>
  <c r="G214" i="1"/>
  <c r="G215" i="1" a="1"/>
  <c r="G215" i="1" s="1"/>
  <c r="G216" i="1" a="1"/>
  <c r="G216" i="1" s="1"/>
  <c r="G217" i="1" a="1"/>
  <c r="G217" i="1" s="1"/>
  <c r="G218" i="1" a="1"/>
  <c r="G218" i="1" s="1"/>
  <c r="G219" i="1" a="1"/>
  <c r="G219" i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/>
  <c r="G227" i="1" a="1"/>
  <c r="G227" i="1" s="1"/>
  <c r="G228" i="1" a="1"/>
  <c r="G228" i="1" s="1"/>
  <c r="G229" i="1" a="1"/>
  <c r="G229" i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/>
  <c r="G237" i="1" a="1"/>
  <c r="G237" i="1" s="1"/>
  <c r="G238" i="1" a="1"/>
  <c r="G238" i="1" s="1"/>
  <c r="G239" i="1" a="1"/>
  <c r="G239" i="1" s="1"/>
  <c r="G240" i="1" a="1"/>
  <c r="G240" i="1" s="1"/>
  <c r="G241" i="1" a="1"/>
  <c r="G241" i="1"/>
  <c r="G242" i="1" a="1"/>
  <c r="G242" i="1" s="1"/>
  <c r="G243" i="1" a="1"/>
  <c r="G243" i="1"/>
  <c r="G244" i="1" a="1"/>
  <c r="G244" i="1" s="1"/>
  <c r="G245" i="1" a="1"/>
  <c r="G245" i="1" s="1"/>
  <c r="G246" i="1" a="1"/>
  <c r="G246" i="1" s="1"/>
  <c r="G247" i="1" a="1"/>
  <c r="G247" i="1" s="1"/>
  <c r="G248" i="1" a="1"/>
  <c r="G248" i="1"/>
  <c r="G249" i="1" a="1"/>
  <c r="G249" i="1" s="1"/>
  <c r="G250" i="1" a="1"/>
  <c r="G250" i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 s="1"/>
  <c r="G470" i="1" a="1"/>
  <c r="G470" i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/>
  <c r="G478" i="1" a="1"/>
  <c r="G478" i="1" s="1"/>
  <c r="G479" i="1" a="1"/>
  <c r="G479" i="1" s="1"/>
  <c r="G480" i="1" a="1"/>
  <c r="G480" i="1" s="1"/>
  <c r="G481" i="1" a="1"/>
  <c r="G481" i="1"/>
  <c r="G482" i="1" a="1"/>
  <c r="G482" i="1" s="1"/>
  <c r="G483" i="1" a="1"/>
  <c r="G483" i="1" s="1"/>
  <c r="G484" i="1" a="1"/>
  <c r="G484" i="1"/>
  <c r="G485" i="1" a="1"/>
  <c r="G485" i="1" s="1"/>
  <c r="G486" i="1" a="1"/>
  <c r="G486" i="1" s="1"/>
  <c r="G487" i="1" a="1"/>
  <c r="G487" i="1" s="1"/>
  <c r="G488" i="1" a="1"/>
  <c r="G488" i="1"/>
  <c r="G489" i="1" a="1"/>
  <c r="G489" i="1" s="1"/>
  <c r="G490" i="1" a="1"/>
  <c r="G490" i="1" s="1"/>
  <c r="G491" i="1" a="1"/>
  <c r="G491" i="1" s="1"/>
  <c r="G492" i="1" a="1"/>
  <c r="G492" i="1" s="1"/>
  <c r="G493" i="1" a="1"/>
  <c r="G493" i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/>
  <c r="G502" i="1" a="1"/>
  <c r="G502" i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/>
  <c r="G509" i="1" a="1"/>
  <c r="G509" i="1" s="1"/>
  <c r="G510" i="1" a="1"/>
  <c r="G510" i="1" s="1"/>
  <c r="G511" i="1" a="1"/>
  <c r="G511" i="1" s="1"/>
  <c r="G512" i="1" a="1"/>
  <c r="G512" i="1"/>
  <c r="G513" i="1" a="1"/>
  <c r="G513" i="1"/>
  <c r="G514" i="1" a="1"/>
  <c r="G514" i="1"/>
  <c r="G515" i="1" a="1"/>
  <c r="G515" i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/>
  <c r="G523" i="1" a="1"/>
  <c r="G523" i="1" s="1"/>
  <c r="G524" i="1" a="1"/>
  <c r="G524" i="1" s="1"/>
  <c r="G525" i="1" a="1"/>
  <c r="G525" i="1"/>
  <c r="G526" i="1" a="1"/>
  <c r="G526" i="1"/>
  <c r="G527" i="1" a="1"/>
  <c r="G527" i="1"/>
  <c r="G528" i="1" a="1"/>
  <c r="G528" i="1"/>
  <c r="G529" i="1" a="1"/>
  <c r="G529" i="1" s="1"/>
  <c r="G530" i="1" a="1"/>
  <c r="G530" i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/>
  <c r="G539" i="1" a="1"/>
  <c r="G539" i="1"/>
  <c r="G540" i="1" a="1"/>
  <c r="G540" i="1"/>
  <c r="G541" i="1" a="1"/>
  <c r="G541" i="1" s="1"/>
  <c r="G542" i="1" a="1"/>
  <c r="G542" i="1"/>
  <c r="G543" i="1" a="1"/>
  <c r="G543" i="1"/>
  <c r="G544" i="1" a="1"/>
  <c r="G544" i="1" s="1"/>
  <c r="G545" i="1" a="1"/>
  <c r="G545" i="1" s="1"/>
  <c r="G546" i="1" a="1"/>
  <c r="G546" i="1" s="1"/>
  <c r="G547" i="1" a="1"/>
  <c r="G547" i="1" s="1"/>
  <c r="G548" i="1" a="1"/>
  <c r="G548" i="1"/>
  <c r="G549" i="1" a="1"/>
  <c r="G549" i="1" s="1"/>
  <c r="G550" i="1" a="1"/>
  <c r="G550" i="1" s="1"/>
  <c r="G551" i="1" a="1"/>
  <c r="G551" i="1"/>
  <c r="G552" i="1" a="1"/>
  <c r="G552" i="1"/>
  <c r="G553" i="1" a="1"/>
  <c r="G553" i="1" s="1"/>
  <c r="G554" i="1" a="1"/>
  <c r="G554" i="1" s="1"/>
  <c r="G555" i="1" a="1"/>
  <c r="G555" i="1"/>
  <c r="G556" i="1" a="1"/>
  <c r="G556" i="1"/>
  <c r="G557" i="1" a="1"/>
  <c r="G557" i="1" s="1"/>
  <c r="G558" i="1" a="1"/>
  <c r="G558" i="1" s="1"/>
  <c r="G559" i="1" a="1"/>
  <c r="G559" i="1" s="1"/>
  <c r="G560" i="1" a="1"/>
  <c r="G560" i="1"/>
  <c r="G561" i="1" a="1"/>
  <c r="G561" i="1"/>
  <c r="G562" i="1" a="1"/>
  <c r="G562" i="1" s="1"/>
  <c r="G563" i="1" a="1"/>
  <c r="G563" i="1" s="1"/>
  <c r="G564" i="1" a="1"/>
  <c r="G564" i="1"/>
  <c r="G565" i="1" a="1"/>
  <c r="G565" i="1" s="1"/>
  <c r="G566" i="1" a="1"/>
  <c r="G566" i="1" s="1"/>
  <c r="G567" i="1" a="1"/>
  <c r="G567" i="1" s="1"/>
  <c r="G568" i="1" a="1"/>
  <c r="G568" i="1"/>
  <c r="G569" i="1" a="1"/>
  <c r="G569" i="1"/>
  <c r="G570" i="1" a="1"/>
  <c r="G570" i="1" s="1"/>
  <c r="G571" i="1" a="1"/>
  <c r="G571" i="1" s="1"/>
  <c r="G572" i="1" a="1"/>
  <c r="G572" i="1"/>
  <c r="G573" i="1" a="1"/>
  <c r="G573" i="1"/>
  <c r="G574" i="1" a="1"/>
  <c r="G574" i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/>
  <c r="G582" i="1" a="1"/>
  <c r="G582" i="1"/>
  <c r="G583" i="1" a="1"/>
  <c r="G583" i="1" s="1"/>
  <c r="G584" i="1" a="1"/>
  <c r="G584" i="1"/>
  <c r="G585" i="1" a="1"/>
  <c r="G585" i="1"/>
  <c r="G586" i="1" a="1"/>
  <c r="G586" i="1"/>
  <c r="G587" i="1" a="1"/>
  <c r="G587" i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/>
  <c r="G595" i="1" a="1"/>
  <c r="G595" i="1" s="1"/>
  <c r="G596" i="1" a="1"/>
  <c r="G596" i="1" s="1"/>
  <c r="G597" i="1" a="1"/>
  <c r="G597" i="1"/>
  <c r="G598" i="1" a="1"/>
  <c r="G598" i="1"/>
  <c r="G599" i="1" a="1"/>
  <c r="G599" i="1"/>
  <c r="G600" i="1" a="1"/>
  <c r="G600" i="1"/>
  <c r="G601" i="1" a="1"/>
  <c r="G601" i="1" s="1"/>
  <c r="G602" i="1" a="1"/>
  <c r="G602" i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/>
  <c r="G611" i="1" a="1"/>
  <c r="G611" i="1"/>
  <c r="G612" i="1" a="1"/>
  <c r="G612" i="1"/>
  <c r="G613" i="1" a="1"/>
  <c r="G613" i="1" s="1"/>
  <c r="G614" i="1" a="1"/>
  <c r="G614" i="1"/>
  <c r="G615" i="1" a="1"/>
  <c r="G615" i="1"/>
  <c r="G616" i="1" a="1"/>
  <c r="G616" i="1" s="1"/>
  <c r="G617" i="1" a="1"/>
  <c r="G617" i="1" s="1"/>
  <c r="G618" i="1" a="1"/>
  <c r="G618" i="1" s="1"/>
  <c r="G619" i="1" a="1"/>
  <c r="G619" i="1" s="1"/>
  <c r="G620" i="1" a="1"/>
  <c r="G620" i="1"/>
  <c r="G621" i="1" a="1"/>
  <c r="G621" i="1" s="1"/>
  <c r="G622" i="1" a="1"/>
  <c r="G622" i="1" s="1"/>
  <c r="G623" i="1" a="1"/>
  <c r="G623" i="1"/>
  <c r="G624" i="1" a="1"/>
  <c r="G624" i="1"/>
  <c r="G625" i="1" a="1"/>
  <c r="G625" i="1" s="1"/>
  <c r="G626" i="1" a="1"/>
  <c r="G626" i="1" s="1"/>
  <c r="G627" i="1" a="1"/>
  <c r="G627" i="1"/>
  <c r="G628" i="1" a="1"/>
  <c r="G628" i="1"/>
  <c r="G629" i="1" a="1"/>
  <c r="G629" i="1" s="1"/>
  <c r="G630" i="1" a="1"/>
  <c r="G630" i="1" s="1"/>
  <c r="G631" i="1" a="1"/>
  <c r="G631" i="1" s="1"/>
  <c r="G632" i="1" a="1"/>
  <c r="G632" i="1"/>
  <c r="G633" i="1" a="1"/>
  <c r="G633" i="1"/>
  <c r="G634" i="1" a="1"/>
  <c r="G634" i="1" s="1"/>
  <c r="G635" i="1" a="1"/>
  <c r="G635" i="1" s="1"/>
  <c r="G636" i="1" a="1"/>
  <c r="G636" i="1"/>
  <c r="G637" i="1" a="1"/>
  <c r="G637" i="1" s="1"/>
  <c r="G638" i="1" a="1"/>
  <c r="G638" i="1" s="1"/>
  <c r="G639" i="1" a="1"/>
  <c r="G639" i="1" s="1"/>
  <c r="G640" i="1" a="1"/>
  <c r="G640" i="1"/>
  <c r="G641" i="1" a="1"/>
  <c r="G641" i="1"/>
  <c r="G642" i="1" a="1"/>
  <c r="G642" i="1" s="1"/>
  <c r="G643" i="1" a="1"/>
  <c r="G643" i="1" s="1"/>
  <c r="G644" i="1" a="1"/>
  <c r="G644" i="1"/>
  <c r="G645" i="1" a="1"/>
  <c r="G645" i="1"/>
  <c r="G646" i="1" a="1"/>
  <c r="G646" i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/>
  <c r="G654" i="1" a="1"/>
  <c r="G654" i="1"/>
  <c r="G655" i="1" a="1"/>
  <c r="G655" i="1" s="1"/>
  <c r="G656" i="1" a="1"/>
  <c r="G656" i="1"/>
  <c r="G657" i="1" a="1"/>
  <c r="G657" i="1"/>
  <c r="G658" i="1" a="1"/>
  <c r="G658" i="1"/>
  <c r="G659" i="1" a="1"/>
  <c r="G659" i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/>
  <c r="G667" i="1" a="1"/>
  <c r="G667" i="1" s="1"/>
  <c r="G668" i="1" a="1"/>
  <c r="G668" i="1" s="1"/>
  <c r="G669" i="1" a="1"/>
  <c r="G669" i="1"/>
  <c r="G670" i="1" a="1"/>
  <c r="G670" i="1"/>
  <c r="G671" i="1" a="1"/>
  <c r="G671" i="1"/>
  <c r="G672" i="1" a="1"/>
  <c r="G672" i="1"/>
  <c r="G673" i="1" a="1"/>
  <c r="G673" i="1" s="1"/>
  <c r="G674" i="1" a="1"/>
  <c r="G674" i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/>
  <c r="G683" i="1" a="1"/>
  <c r="G683" i="1"/>
  <c r="G684" i="1" a="1"/>
  <c r="G684" i="1"/>
  <c r="G685" i="1" a="1"/>
  <c r="G685" i="1" s="1"/>
  <c r="G686" i="1" a="1"/>
  <c r="G686" i="1"/>
  <c r="G687" i="1" a="1"/>
  <c r="G687" i="1"/>
  <c r="G688" i="1" a="1"/>
  <c r="G688" i="1" s="1"/>
  <c r="G689" i="1" a="1"/>
  <c r="G689" i="1" s="1"/>
  <c r="G690" i="1" a="1"/>
  <c r="G690" i="1" s="1"/>
  <c r="G691" i="1" a="1"/>
  <c r="G691" i="1" s="1"/>
  <c r="G692" i="1" a="1"/>
  <c r="G692" i="1"/>
  <c r="G693" i="1" a="1"/>
  <c r="G693" i="1" s="1"/>
  <c r="G694" i="1" a="1"/>
  <c r="G694" i="1" s="1"/>
  <c r="G695" i="1" a="1"/>
  <c r="G695" i="1"/>
  <c r="G696" i="1" a="1"/>
  <c r="G696" i="1"/>
  <c r="G697" i="1" a="1"/>
  <c r="G697" i="1" s="1"/>
  <c r="G698" i="1" a="1"/>
  <c r="G698" i="1" s="1"/>
  <c r="G699" i="1" a="1"/>
  <c r="G699" i="1"/>
  <c r="G700" i="1" a="1"/>
  <c r="G700" i="1"/>
  <c r="G701" i="1" a="1"/>
  <c r="G701" i="1" s="1"/>
  <c r="G702" i="1" a="1"/>
  <c r="G702" i="1" s="1"/>
  <c r="G703" i="1" a="1"/>
  <c r="G703" i="1" s="1"/>
  <c r="G704" i="1" a="1"/>
  <c r="G704" i="1"/>
  <c r="G705" i="1" a="1"/>
  <c r="G705" i="1"/>
  <c r="G706" i="1" a="1"/>
  <c r="G706" i="1" s="1"/>
  <c r="G707" i="1" a="1"/>
  <c r="G707" i="1" s="1"/>
  <c r="G708" i="1" a="1"/>
  <c r="G708" i="1"/>
  <c r="G709" i="1" a="1"/>
  <c r="G709" i="1" s="1"/>
  <c r="G710" i="1" a="1"/>
  <c r="G710" i="1" s="1"/>
  <c r="G711" i="1" a="1"/>
  <c r="G711" i="1" s="1"/>
  <c r="G712" i="1" a="1"/>
  <c r="G712" i="1"/>
  <c r="G713" i="1" a="1"/>
  <c r="G713" i="1"/>
  <c r="G714" i="1" a="1"/>
  <c r="G714" i="1" s="1"/>
  <c r="G715" i="1" a="1"/>
  <c r="G715" i="1" s="1"/>
  <c r="G716" i="1" a="1"/>
  <c r="G716" i="1"/>
  <c r="G717" i="1" a="1"/>
  <c r="G717" i="1"/>
  <c r="G718" i="1" a="1"/>
  <c r="G718" i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/>
  <c r="G726" i="1" a="1"/>
  <c r="G726" i="1"/>
  <c r="G727" i="1" a="1"/>
  <c r="G727" i="1" s="1"/>
  <c r="G728" i="1" a="1"/>
  <c r="G728" i="1"/>
  <c r="G729" i="1" a="1"/>
  <c r="G729" i="1"/>
  <c r="G730" i="1" a="1"/>
  <c r="G730" i="1"/>
  <c r="G731" i="1" a="1"/>
  <c r="G731" i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/>
  <c r="G739" i="1" a="1"/>
  <c r="G739" i="1" s="1"/>
  <c r="G740" i="1" a="1"/>
  <c r="G740" i="1" s="1"/>
  <c r="G741" i="1" a="1"/>
  <c r="G741" i="1"/>
  <c r="G742" i="1" a="1"/>
  <c r="G742" i="1"/>
  <c r="G743" i="1" a="1"/>
  <c r="G743" i="1"/>
  <c r="G744" i="1" a="1"/>
  <c r="G744" i="1"/>
  <c r="G745" i="1" a="1"/>
  <c r="G745" i="1" s="1"/>
  <c r="G746" i="1" a="1"/>
  <c r="G746" i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/>
  <c r="G755" i="1" a="1"/>
  <c r="G755" i="1"/>
  <c r="G756" i="1" a="1"/>
  <c r="G756" i="1"/>
  <c r="G757" i="1" a="1"/>
  <c r="G757" i="1" s="1"/>
  <c r="G758" i="1" a="1"/>
  <c r="G758" i="1"/>
  <c r="G759" i="1" a="1"/>
  <c r="G759" i="1"/>
  <c r="G760" i="1" a="1"/>
  <c r="G760" i="1" s="1"/>
  <c r="G761" i="1" a="1"/>
  <c r="G761" i="1" s="1"/>
  <c r="G762" i="1" a="1"/>
  <c r="G762" i="1" s="1"/>
  <c r="G763" i="1" a="1"/>
  <c r="G763" i="1" s="1"/>
  <c r="G764" i="1" a="1"/>
  <c r="G764" i="1"/>
  <c r="G765" i="1" a="1"/>
  <c r="G765" i="1" s="1"/>
  <c r="G766" i="1" a="1"/>
  <c r="G766" i="1" s="1"/>
  <c r="G767" i="1" a="1"/>
  <c r="G767" i="1"/>
  <c r="G768" i="1" a="1"/>
  <c r="G768" i="1"/>
  <c r="G769" i="1" a="1"/>
  <c r="G769" i="1" s="1"/>
  <c r="G770" i="1" a="1"/>
  <c r="G770" i="1" s="1"/>
  <c r="G771" i="1" a="1"/>
  <c r="G771" i="1"/>
  <c r="G772" i="1" a="1"/>
  <c r="G772" i="1"/>
  <c r="G773" i="1" a="1"/>
  <c r="G773" i="1" s="1"/>
  <c r="G774" i="1" a="1"/>
  <c r="G774" i="1" s="1"/>
  <c r="G775" i="1" a="1"/>
  <c r="G775" i="1" s="1"/>
  <c r="G776" i="1" a="1"/>
  <c r="G776" i="1"/>
  <c r="G777" i="1" a="1"/>
  <c r="G777" i="1"/>
  <c r="G778" i="1" a="1"/>
  <c r="G778" i="1" s="1"/>
  <c r="G779" i="1" a="1"/>
  <c r="G779" i="1" s="1"/>
  <c r="G780" i="1" a="1"/>
  <c r="G780" i="1"/>
  <c r="G781" i="1" a="1"/>
  <c r="G781" i="1"/>
  <c r="G782" i="1" a="1"/>
  <c r="G782" i="1"/>
  <c r="G783" i="1" a="1"/>
  <c r="G783" i="1"/>
  <c r="G784" i="1" a="1"/>
  <c r="G784" i="1" s="1"/>
  <c r="G785" i="1" a="1"/>
  <c r="G785" i="1" s="1"/>
  <c r="G786" i="1" a="1"/>
  <c r="G786" i="1"/>
  <c r="G787" i="1" a="1"/>
  <c r="G787" i="1"/>
  <c r="G788" i="1" a="1"/>
  <c r="G788" i="1"/>
  <c r="G789" i="1" a="1"/>
  <c r="G789" i="1"/>
  <c r="G790" i="1" a="1"/>
  <c r="G790" i="1" s="1"/>
  <c r="G791" i="1" a="1"/>
  <c r="G791" i="1" s="1"/>
  <c r="G792" i="1" a="1"/>
  <c r="G792" i="1"/>
  <c r="G793" i="1" a="1"/>
  <c r="G793" i="1"/>
  <c r="G794" i="1" a="1"/>
  <c r="G794" i="1"/>
  <c r="G795" i="1" a="1"/>
  <c r="G795" i="1"/>
  <c r="G796" i="1" a="1"/>
  <c r="G796" i="1" s="1"/>
  <c r="G797" i="1" a="1"/>
  <c r="G797" i="1" s="1"/>
  <c r="G798" i="1" a="1"/>
  <c r="G798" i="1"/>
  <c r="G799" i="1" a="1"/>
  <c r="G799" i="1"/>
  <c r="G800" i="1" a="1"/>
  <c r="G800" i="1"/>
  <c r="G801" i="1" a="1"/>
  <c r="G801" i="1"/>
  <c r="G802" i="1" a="1"/>
  <c r="G802" i="1" s="1"/>
  <c r="G803" i="1" a="1"/>
  <c r="G803" i="1" s="1"/>
  <c r="G804" i="1" a="1"/>
  <c r="G804" i="1"/>
  <c r="G805" i="1" a="1"/>
  <c r="G805" i="1"/>
  <c r="G806" i="1" a="1"/>
  <c r="G806" i="1"/>
  <c r="G807" i="1" a="1"/>
  <c r="G807" i="1"/>
  <c r="G808" i="1" a="1"/>
  <c r="G808" i="1" s="1"/>
  <c r="G809" i="1" a="1"/>
  <c r="G809" i="1" s="1"/>
  <c r="G810" i="1" a="1"/>
  <c r="G810" i="1"/>
  <c r="G811" i="1" a="1"/>
  <c r="G811" i="1"/>
  <c r="G812" i="1" a="1"/>
  <c r="G812" i="1"/>
  <c r="G813" i="1" a="1"/>
  <c r="G813" i="1"/>
  <c r="G814" i="1" a="1"/>
  <c r="G814" i="1" s="1"/>
  <c r="G815" i="1" a="1"/>
  <c r="G815" i="1" s="1"/>
  <c r="G816" i="1" a="1"/>
  <c r="G816" i="1"/>
  <c r="G817" i="1" a="1"/>
  <c r="G817" i="1"/>
  <c r="G818" i="1" a="1"/>
  <c r="G818" i="1"/>
  <c r="G819" i="1" a="1"/>
  <c r="G819" i="1"/>
  <c r="G820" i="1" a="1"/>
  <c r="G820" i="1" s="1"/>
  <c r="G821" i="1" a="1"/>
  <c r="G821" i="1" s="1"/>
  <c r="G822" i="1" a="1"/>
  <c r="G822" i="1"/>
  <c r="G823" i="1" a="1"/>
  <c r="G823" i="1"/>
  <c r="G824" i="1" a="1"/>
  <c r="G824" i="1"/>
  <c r="G825" i="1" a="1"/>
  <c r="G825" i="1"/>
  <c r="G826" i="1" a="1"/>
  <c r="G826" i="1" s="1"/>
  <c r="G827" i="1" a="1"/>
  <c r="G827" i="1" s="1"/>
  <c r="G828" i="1" a="1"/>
  <c r="G828" i="1" s="1"/>
  <c r="G829" i="1" a="1"/>
  <c r="G829" i="1"/>
  <c r="G830" i="1" a="1"/>
  <c r="G830" i="1"/>
  <c r="G831" i="1" a="1"/>
  <c r="G831" i="1"/>
  <c r="G832" i="1" a="1"/>
  <c r="G832" i="1" s="1"/>
  <c r="G833" i="1" a="1"/>
  <c r="G833" i="1" s="1"/>
  <c r="G834" i="1" a="1"/>
  <c r="G834" i="1" s="1"/>
  <c r="G835" i="1" a="1"/>
  <c r="G835" i="1"/>
  <c r="G836" i="1" a="1"/>
  <c r="G836" i="1"/>
  <c r="G837" i="1" a="1"/>
  <c r="G837" i="1"/>
  <c r="G838" i="1" a="1"/>
  <c r="G838" i="1" s="1"/>
  <c r="G839" i="1" a="1"/>
  <c r="G839" i="1" s="1"/>
  <c r="G840" i="1" a="1"/>
  <c r="G840" i="1" s="1"/>
  <c r="G841" i="1" a="1"/>
  <c r="G841" i="1"/>
  <c r="G842" i="1" a="1"/>
  <c r="G842" i="1"/>
  <c r="G843" i="1" a="1"/>
  <c r="G843" i="1"/>
  <c r="G844" i="1" a="1"/>
  <c r="G844" i="1" s="1"/>
  <c r="G845" i="1" a="1"/>
  <c r="G845" i="1" s="1"/>
  <c r="G846" i="1" a="1"/>
  <c r="G846" i="1" s="1"/>
  <c r="G847" i="1" a="1"/>
  <c r="G847" i="1"/>
  <c r="G848" i="1" a="1"/>
  <c r="G848" i="1"/>
  <c r="G849" i="1" a="1"/>
  <c r="G849" i="1"/>
  <c r="G850" i="1" a="1"/>
  <c r="G850" i="1" s="1"/>
  <c r="G851" i="1" a="1"/>
  <c r="G851" i="1" s="1"/>
  <c r="G852" i="1" a="1"/>
  <c r="G852" i="1" s="1"/>
  <c r="G853" i="1" a="1"/>
  <c r="G853" i="1"/>
  <c r="G854" i="1" a="1"/>
  <c r="G854" i="1"/>
  <c r="G855" i="1" a="1"/>
  <c r="G855" i="1"/>
  <c r="G856" i="1" a="1"/>
  <c r="G856" i="1" s="1"/>
  <c r="G857" i="1" a="1"/>
  <c r="G857" i="1" s="1"/>
  <c r="G858" i="1" a="1"/>
  <c r="G858" i="1" s="1"/>
  <c r="G859" i="1" a="1"/>
  <c r="G859" i="1"/>
  <c r="G860" i="1" a="1"/>
  <c r="G860" i="1"/>
  <c r="G861" i="1" a="1"/>
  <c r="G861" i="1"/>
  <c r="G862" i="1" a="1"/>
  <c r="G862" i="1" s="1"/>
  <c r="G863" i="1" a="1"/>
  <c r="G863" i="1" s="1"/>
  <c r="G864" i="1" a="1"/>
  <c r="G864" i="1" s="1"/>
  <c r="G865" i="1" a="1"/>
  <c r="G865" i="1" s="1"/>
  <c r="G866" i="1" a="1"/>
  <c r="G866" i="1"/>
  <c r="G867" i="1" a="1"/>
  <c r="G867" i="1"/>
  <c r="G868" i="1" a="1"/>
  <c r="G868" i="1" s="1"/>
  <c r="G869" i="1" a="1"/>
  <c r="G869" i="1" s="1"/>
  <c r="G870" i="1" a="1"/>
  <c r="G870" i="1" s="1"/>
  <c r="G871" i="1" a="1"/>
  <c r="G871" i="1" s="1"/>
  <c r="G872" i="1" a="1"/>
  <c r="G872" i="1"/>
  <c r="G873" i="1" a="1"/>
  <c r="G873" i="1"/>
  <c r="G874" i="1" a="1"/>
  <c r="G874" i="1" s="1"/>
  <c r="G875" i="1" a="1"/>
  <c r="G875" i="1" s="1"/>
  <c r="G876" i="1" a="1"/>
  <c r="G876" i="1" s="1"/>
  <c r="G877" i="1" a="1"/>
  <c r="G877" i="1" s="1"/>
  <c r="G878" i="1" a="1"/>
  <c r="G878" i="1"/>
  <c r="G879" i="1" a="1"/>
  <c r="G879" i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/>
  <c r="G2" i="1" a="1"/>
  <c r="G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2" i="1"/>
  <c r="Q98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2" i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<sst xmlns="http://schemas.openxmlformats.org/spreadsheetml/2006/main" count="9078" uniqueCount="3050">
  <si>
    <t>Invoice ID</t>
  </si>
  <si>
    <t>Purchase Date</t>
  </si>
  <si>
    <t>Day of Purchase</t>
  </si>
  <si>
    <t>Time of Purchase</t>
  </si>
  <si>
    <t>Age</t>
  </si>
  <si>
    <t>Gender</t>
  </si>
  <si>
    <t>City</t>
  </si>
  <si>
    <t>Product</t>
  </si>
  <si>
    <t>Category</t>
  </si>
  <si>
    <t>Quantity</t>
  </si>
  <si>
    <t>Unit Price</t>
  </si>
  <si>
    <t>Discount (%)</t>
  </si>
  <si>
    <t>Loyalty Points Earned</t>
  </si>
  <si>
    <t>Payment Method</t>
  </si>
  <si>
    <t>Department</t>
  </si>
  <si>
    <t>INV-100000</t>
  </si>
  <si>
    <t>INV-100001</t>
  </si>
  <si>
    <t>INV-100002</t>
  </si>
  <si>
    <t>INV-100003</t>
  </si>
  <si>
    <t>INV-100005</t>
  </si>
  <si>
    <t>INV-100006</t>
  </si>
  <si>
    <t>INV-100007</t>
  </si>
  <si>
    <t>INV-100008</t>
  </si>
  <si>
    <t>INV-100009</t>
  </si>
  <si>
    <t>INV-100010</t>
  </si>
  <si>
    <t>INV-100011</t>
  </si>
  <si>
    <t>INV-100012</t>
  </si>
  <si>
    <t>INV-100013</t>
  </si>
  <si>
    <t>INV-100014</t>
  </si>
  <si>
    <t>INV-100015</t>
  </si>
  <si>
    <t>INV-100016</t>
  </si>
  <si>
    <t>INV-100017</t>
  </si>
  <si>
    <t>INV-100018</t>
  </si>
  <si>
    <t>INV-100019</t>
  </si>
  <si>
    <t>INV-100020</t>
  </si>
  <si>
    <t>INV-100021</t>
  </si>
  <si>
    <t>INV-100022</t>
  </si>
  <si>
    <t>INV-100023</t>
  </si>
  <si>
    <t>INV-100024</t>
  </si>
  <si>
    <t>INV-100025</t>
  </si>
  <si>
    <t>INV-100026</t>
  </si>
  <si>
    <t>INV-100027</t>
  </si>
  <si>
    <t>INV-100028</t>
  </si>
  <si>
    <t>INV-100029</t>
  </si>
  <si>
    <t>INV-100030</t>
  </si>
  <si>
    <t>INV-100031</t>
  </si>
  <si>
    <t>INV-100032</t>
  </si>
  <si>
    <t>INV-100033</t>
  </si>
  <si>
    <t>INV-100034</t>
  </si>
  <si>
    <t>INV-100035</t>
  </si>
  <si>
    <t>INV-100036</t>
  </si>
  <si>
    <t>INV-100037</t>
  </si>
  <si>
    <t>INV-100038</t>
  </si>
  <si>
    <t>INV-100039</t>
  </si>
  <si>
    <t>INV-100040</t>
  </si>
  <si>
    <t>INV-100041</t>
  </si>
  <si>
    <t>INV-100042</t>
  </si>
  <si>
    <t>INV-100043</t>
  </si>
  <si>
    <t>INV-100044</t>
  </si>
  <si>
    <t>INV-100045</t>
  </si>
  <si>
    <t>INV-100046</t>
  </si>
  <si>
    <t>INV-100047</t>
  </si>
  <si>
    <t>INV-100048</t>
  </si>
  <si>
    <t>INV-100049</t>
  </si>
  <si>
    <t>INV-100050</t>
  </si>
  <si>
    <t>INV-100051</t>
  </si>
  <si>
    <t>INV-100052</t>
  </si>
  <si>
    <t>INV-100053</t>
  </si>
  <si>
    <t>INV-100054</t>
  </si>
  <si>
    <t>INV-100055</t>
  </si>
  <si>
    <t>INV-100056</t>
  </si>
  <si>
    <t>INV-100057</t>
  </si>
  <si>
    <t>INV-100058</t>
  </si>
  <si>
    <t>INV-100059</t>
  </si>
  <si>
    <t>INV-100060</t>
  </si>
  <si>
    <t>INV-100061</t>
  </si>
  <si>
    <t>INV-100062</t>
  </si>
  <si>
    <t>INV-100063</t>
  </si>
  <si>
    <t>INV-100064</t>
  </si>
  <si>
    <t>INV-100065</t>
  </si>
  <si>
    <t>INV-100066</t>
  </si>
  <si>
    <t>INV-100067</t>
  </si>
  <si>
    <t>INV-100068</t>
  </si>
  <si>
    <t>INV-100069</t>
  </si>
  <si>
    <t>INV-100070</t>
  </si>
  <si>
    <t>INV-100071</t>
  </si>
  <si>
    <t>INV-100072</t>
  </si>
  <si>
    <t>INV-100073</t>
  </si>
  <si>
    <t>INV-100074</t>
  </si>
  <si>
    <t>INV-100075</t>
  </si>
  <si>
    <t>INV-100076</t>
  </si>
  <si>
    <t>INV-100077</t>
  </si>
  <si>
    <t>INV-100078</t>
  </si>
  <si>
    <t>INV-100079</t>
  </si>
  <si>
    <t>INV-100080</t>
  </si>
  <si>
    <t>INV-100081</t>
  </si>
  <si>
    <t>INV-100082</t>
  </si>
  <si>
    <t>INV-100083</t>
  </si>
  <si>
    <t>INV-100084</t>
  </si>
  <si>
    <t>INV-100085</t>
  </si>
  <si>
    <t>INV-100086</t>
  </si>
  <si>
    <t>INV-100087</t>
  </si>
  <si>
    <t>INV-100088</t>
  </si>
  <si>
    <t>INV-100089</t>
  </si>
  <si>
    <t>INV-100090</t>
  </si>
  <si>
    <t>INV-100091</t>
  </si>
  <si>
    <t>INV-100092</t>
  </si>
  <si>
    <t>INV-100093</t>
  </si>
  <si>
    <t>INV-100094</t>
  </si>
  <si>
    <t>INV-100095</t>
  </si>
  <si>
    <t>INV-100096</t>
  </si>
  <si>
    <t>INV-100097</t>
  </si>
  <si>
    <t>INV-100098</t>
  </si>
  <si>
    <t>INV-100099</t>
  </si>
  <si>
    <t>INV-100100</t>
  </si>
  <si>
    <t>INV-100101</t>
  </si>
  <si>
    <t>INV-100102</t>
  </si>
  <si>
    <t>INV-100103</t>
  </si>
  <si>
    <t>INV-100104</t>
  </si>
  <si>
    <t>INV-100105</t>
  </si>
  <si>
    <t>INV-100106</t>
  </si>
  <si>
    <t>INV-100107</t>
  </si>
  <si>
    <t>INV-100108</t>
  </si>
  <si>
    <t>INV-100109</t>
  </si>
  <si>
    <t>INV-100110</t>
  </si>
  <si>
    <t>INV-100111</t>
  </si>
  <si>
    <t>INV-100112</t>
  </si>
  <si>
    <t>INV-100113</t>
  </si>
  <si>
    <t>INV-100114</t>
  </si>
  <si>
    <t>INV-100115</t>
  </si>
  <si>
    <t>INV-100116</t>
  </si>
  <si>
    <t>INV-100117</t>
  </si>
  <si>
    <t>INV-100118</t>
  </si>
  <si>
    <t>INV-100119</t>
  </si>
  <si>
    <t>INV-100120</t>
  </si>
  <si>
    <t>INV-100121</t>
  </si>
  <si>
    <t>INV-100122</t>
  </si>
  <si>
    <t>INV-100123</t>
  </si>
  <si>
    <t>INV-100124</t>
  </si>
  <si>
    <t>INV-100125</t>
  </si>
  <si>
    <t>INV-100126</t>
  </si>
  <si>
    <t>INV-100127</t>
  </si>
  <si>
    <t>INV-100128</t>
  </si>
  <si>
    <t>INV-100129</t>
  </si>
  <si>
    <t>INV-100130</t>
  </si>
  <si>
    <t>INV-100131</t>
  </si>
  <si>
    <t>INV-100132</t>
  </si>
  <si>
    <t>INV-100133</t>
  </si>
  <si>
    <t>INV-100134</t>
  </si>
  <si>
    <t>INV-100135</t>
  </si>
  <si>
    <t>INV-100136</t>
  </si>
  <si>
    <t>INV-100137</t>
  </si>
  <si>
    <t>INV-100138</t>
  </si>
  <si>
    <t>INV-100139</t>
  </si>
  <si>
    <t>INV-100140</t>
  </si>
  <si>
    <t>INV-100141</t>
  </si>
  <si>
    <t>INV-100142</t>
  </si>
  <si>
    <t>INV-100143</t>
  </si>
  <si>
    <t>INV-100144</t>
  </si>
  <si>
    <t>INV-100145</t>
  </si>
  <si>
    <t>INV-100146</t>
  </si>
  <si>
    <t>INV-100147</t>
  </si>
  <si>
    <t>INV-100148</t>
  </si>
  <si>
    <t>INV-100149</t>
  </si>
  <si>
    <t>INV-100150</t>
  </si>
  <si>
    <t>INV-100151</t>
  </si>
  <si>
    <t>INV-100152</t>
  </si>
  <si>
    <t>INV-100153</t>
  </si>
  <si>
    <t>INV-100154</t>
  </si>
  <si>
    <t>INV-100155</t>
  </si>
  <si>
    <t>INV-100156</t>
  </si>
  <si>
    <t>INV-100157</t>
  </si>
  <si>
    <t>INV-100158</t>
  </si>
  <si>
    <t>INV-100159</t>
  </si>
  <si>
    <t>INV-100160</t>
  </si>
  <si>
    <t>INV-100161</t>
  </si>
  <si>
    <t>INV-100162</t>
  </si>
  <si>
    <t>INV-100163</t>
  </si>
  <si>
    <t>INV-100164</t>
  </si>
  <si>
    <t>INV-100165</t>
  </si>
  <si>
    <t>INV-100166</t>
  </si>
  <si>
    <t>INV-100167</t>
  </si>
  <si>
    <t>INV-100168</t>
  </si>
  <si>
    <t>INV-100169</t>
  </si>
  <si>
    <t>INV-100170</t>
  </si>
  <si>
    <t>INV-100171</t>
  </si>
  <si>
    <t>INV-100172</t>
  </si>
  <si>
    <t>INV-100173</t>
  </si>
  <si>
    <t>INV-100174</t>
  </si>
  <si>
    <t>INV-100175</t>
  </si>
  <si>
    <t>INV-100176</t>
  </si>
  <si>
    <t>INV-100177</t>
  </si>
  <si>
    <t>INV-100178</t>
  </si>
  <si>
    <t>INV-100179</t>
  </si>
  <si>
    <t>INV-100180</t>
  </si>
  <si>
    <t>INV-100181</t>
  </si>
  <si>
    <t>INV-100182</t>
  </si>
  <si>
    <t>INV-100183</t>
  </si>
  <si>
    <t>INV-100184</t>
  </si>
  <si>
    <t>INV-100185</t>
  </si>
  <si>
    <t>INV-100186</t>
  </si>
  <si>
    <t>INV-100187</t>
  </si>
  <si>
    <t>INV-100188</t>
  </si>
  <si>
    <t>INV-100189</t>
  </si>
  <si>
    <t>INV-100190</t>
  </si>
  <si>
    <t>INV-100191</t>
  </si>
  <si>
    <t>INV-100192</t>
  </si>
  <si>
    <t>INV-100193</t>
  </si>
  <si>
    <t>INV-100194</t>
  </si>
  <si>
    <t>INV-100195</t>
  </si>
  <si>
    <t>INV-100196</t>
  </si>
  <si>
    <t>INV-100197</t>
  </si>
  <si>
    <t>INV-100198</t>
  </si>
  <si>
    <t>INV-100199</t>
  </si>
  <si>
    <t>INV-100200</t>
  </si>
  <si>
    <t>INV-100201</t>
  </si>
  <si>
    <t>INV-100202</t>
  </si>
  <si>
    <t>INV-100203</t>
  </si>
  <si>
    <t>INV-100204</t>
  </si>
  <si>
    <t>INV-100205</t>
  </si>
  <si>
    <t>INV-100206</t>
  </si>
  <si>
    <t>INV-100207</t>
  </si>
  <si>
    <t>INV-100208</t>
  </si>
  <si>
    <t>INV-100209</t>
  </si>
  <si>
    <t>INV-100210</t>
  </si>
  <si>
    <t>INV-100211</t>
  </si>
  <si>
    <t>INV-100212</t>
  </si>
  <si>
    <t>INV-100213</t>
  </si>
  <si>
    <t>INV-100214</t>
  </si>
  <si>
    <t>INV-100215</t>
  </si>
  <si>
    <t>INV-100216</t>
  </si>
  <si>
    <t>INV-100217</t>
  </si>
  <si>
    <t>INV-100218</t>
  </si>
  <si>
    <t>INV-100219</t>
  </si>
  <si>
    <t>INV-100220</t>
  </si>
  <si>
    <t>INV-100221</t>
  </si>
  <si>
    <t>INV-100222</t>
  </si>
  <si>
    <t>INV-100223</t>
  </si>
  <si>
    <t>INV-100224</t>
  </si>
  <si>
    <t>INV-100225</t>
  </si>
  <si>
    <t>INV-100226</t>
  </si>
  <si>
    <t>INV-100227</t>
  </si>
  <si>
    <t>INV-100228</t>
  </si>
  <si>
    <t>INV-100229</t>
  </si>
  <si>
    <t>INV-100230</t>
  </si>
  <si>
    <t>INV-100231</t>
  </si>
  <si>
    <t>INV-100232</t>
  </si>
  <si>
    <t>INV-100233</t>
  </si>
  <si>
    <t>INV-100234</t>
  </si>
  <si>
    <t>INV-100235</t>
  </si>
  <si>
    <t>INV-100236</t>
  </si>
  <si>
    <t>INV-100237</t>
  </si>
  <si>
    <t>INV-100238</t>
  </si>
  <si>
    <t>INV-100239</t>
  </si>
  <si>
    <t>INV-100240</t>
  </si>
  <si>
    <t>INV-100241</t>
  </si>
  <si>
    <t>INV-100242</t>
  </si>
  <si>
    <t>INV-100243</t>
  </si>
  <si>
    <t>INV-100244</t>
  </si>
  <si>
    <t>INV-100245</t>
  </si>
  <si>
    <t>INV-100246</t>
  </si>
  <si>
    <t>INV-100247</t>
  </si>
  <si>
    <t>INV-100248</t>
  </si>
  <si>
    <t>INV-100249</t>
  </si>
  <si>
    <t>INV-100250</t>
  </si>
  <si>
    <t>INV-100251</t>
  </si>
  <si>
    <t>INV-100252</t>
  </si>
  <si>
    <t>INV-100253</t>
  </si>
  <si>
    <t>INV-100254</t>
  </si>
  <si>
    <t>INV-100255</t>
  </si>
  <si>
    <t>INV-100256</t>
  </si>
  <si>
    <t>INV-100257</t>
  </si>
  <si>
    <t>INV-100258</t>
  </si>
  <si>
    <t>INV-100259</t>
  </si>
  <si>
    <t>INV-100260</t>
  </si>
  <si>
    <t>INV-100261</t>
  </si>
  <si>
    <t>INV-100262</t>
  </si>
  <si>
    <t>INV-100263</t>
  </si>
  <si>
    <t>INV-100264</t>
  </si>
  <si>
    <t>INV-100265</t>
  </si>
  <si>
    <t>INV-100266</t>
  </si>
  <si>
    <t>INV-100267</t>
  </si>
  <si>
    <t>INV-100268</t>
  </si>
  <si>
    <t>INV-100269</t>
  </si>
  <si>
    <t>INV-100270</t>
  </si>
  <si>
    <t>INV-100271</t>
  </si>
  <si>
    <t>INV-100272</t>
  </si>
  <si>
    <t>INV-100273</t>
  </si>
  <si>
    <t>INV-100274</t>
  </si>
  <si>
    <t>INV-100275</t>
  </si>
  <si>
    <t>INV-100276</t>
  </si>
  <si>
    <t>INV-100277</t>
  </si>
  <si>
    <t>INV-100278</t>
  </si>
  <si>
    <t>INV-100279</t>
  </si>
  <si>
    <t>INV-100280</t>
  </si>
  <si>
    <t>INV-100281</t>
  </si>
  <si>
    <t>INV-100282</t>
  </si>
  <si>
    <t>INV-100283</t>
  </si>
  <si>
    <t>INV-100284</t>
  </si>
  <si>
    <t>INV-100285</t>
  </si>
  <si>
    <t>INV-100286</t>
  </si>
  <si>
    <t>INV-100287</t>
  </si>
  <si>
    <t>INV-100288</t>
  </si>
  <si>
    <t>INV-100289</t>
  </si>
  <si>
    <t>INV-100290</t>
  </si>
  <si>
    <t>INV-100291</t>
  </si>
  <si>
    <t>INV-100292</t>
  </si>
  <si>
    <t>INV-100293</t>
  </si>
  <si>
    <t>INV-100294</t>
  </si>
  <si>
    <t>INV-100295</t>
  </si>
  <si>
    <t>INV-100296</t>
  </si>
  <si>
    <t>INV-100297</t>
  </si>
  <si>
    <t>INV-100298</t>
  </si>
  <si>
    <t>INV-100299</t>
  </si>
  <si>
    <t>INV-100300</t>
  </si>
  <si>
    <t>INV-100301</t>
  </si>
  <si>
    <t>INV-100302</t>
  </si>
  <si>
    <t>INV-100303</t>
  </si>
  <si>
    <t>INV-100304</t>
  </si>
  <si>
    <t>INV-100305</t>
  </si>
  <si>
    <t>INV-100306</t>
  </si>
  <si>
    <t>INV-100307</t>
  </si>
  <si>
    <t>INV-100308</t>
  </si>
  <si>
    <t>INV-100309</t>
  </si>
  <si>
    <t>INV-100310</t>
  </si>
  <si>
    <t>INV-100311</t>
  </si>
  <si>
    <t>INV-100312</t>
  </si>
  <si>
    <t>INV-100313</t>
  </si>
  <si>
    <t>INV-100314</t>
  </si>
  <si>
    <t>INV-100315</t>
  </si>
  <si>
    <t>INV-100316</t>
  </si>
  <si>
    <t>INV-100317</t>
  </si>
  <si>
    <t>INV-100318</t>
  </si>
  <si>
    <t>INV-100319</t>
  </si>
  <si>
    <t>INV-100320</t>
  </si>
  <si>
    <t>INV-100321</t>
  </si>
  <si>
    <t>INV-100322</t>
  </si>
  <si>
    <t>INV-100323</t>
  </si>
  <si>
    <t>INV-100324</t>
  </si>
  <si>
    <t>INV-100325</t>
  </si>
  <si>
    <t>INV-100326</t>
  </si>
  <si>
    <t>INV-100327</t>
  </si>
  <si>
    <t>INV-100328</t>
  </si>
  <si>
    <t>INV-100329</t>
  </si>
  <si>
    <t>INV-100330</t>
  </si>
  <si>
    <t>INV-100331</t>
  </si>
  <si>
    <t>INV-100332</t>
  </si>
  <si>
    <t>INV-100333</t>
  </si>
  <si>
    <t>INV-100334</t>
  </si>
  <si>
    <t>INV-100335</t>
  </si>
  <si>
    <t>INV-100336</t>
  </si>
  <si>
    <t>INV-100337</t>
  </si>
  <si>
    <t>INV-100338</t>
  </si>
  <si>
    <t>INV-100339</t>
  </si>
  <si>
    <t>INV-100340</t>
  </si>
  <si>
    <t>INV-100341</t>
  </si>
  <si>
    <t>INV-100342</t>
  </si>
  <si>
    <t>INV-100343</t>
  </si>
  <si>
    <t>INV-100344</t>
  </si>
  <si>
    <t>INV-100345</t>
  </si>
  <si>
    <t>INV-100346</t>
  </si>
  <si>
    <t>INV-100347</t>
  </si>
  <si>
    <t>INV-100348</t>
  </si>
  <si>
    <t>INV-100349</t>
  </si>
  <si>
    <t>INV-100350</t>
  </si>
  <si>
    <t>INV-100351</t>
  </si>
  <si>
    <t>INV-100352</t>
  </si>
  <si>
    <t>INV-100353</t>
  </si>
  <si>
    <t>INV-100354</t>
  </si>
  <si>
    <t>INV-100355</t>
  </si>
  <si>
    <t>INV-100356</t>
  </si>
  <si>
    <t>INV-100357</t>
  </si>
  <si>
    <t>INV-100358</t>
  </si>
  <si>
    <t>INV-100359</t>
  </si>
  <si>
    <t>INV-100360</t>
  </si>
  <si>
    <t>INV-100361</t>
  </si>
  <si>
    <t>INV-100362</t>
  </si>
  <si>
    <t>INV-100363</t>
  </si>
  <si>
    <t>INV-100364</t>
  </si>
  <si>
    <t>INV-100365</t>
  </si>
  <si>
    <t>INV-100366</t>
  </si>
  <si>
    <t>INV-100367</t>
  </si>
  <si>
    <t>INV-100368</t>
  </si>
  <si>
    <t>INV-100369</t>
  </si>
  <si>
    <t>INV-100370</t>
  </si>
  <si>
    <t>INV-100371</t>
  </si>
  <si>
    <t>INV-100372</t>
  </si>
  <si>
    <t>INV-100373</t>
  </si>
  <si>
    <t>INV-100374</t>
  </si>
  <si>
    <t>INV-100375</t>
  </si>
  <si>
    <t>INV-100376</t>
  </si>
  <si>
    <t>INV-100377</t>
  </si>
  <si>
    <t>INV-100378</t>
  </si>
  <si>
    <t>INV-100379</t>
  </si>
  <si>
    <t>INV-100380</t>
  </si>
  <si>
    <t>INV-100381</t>
  </si>
  <si>
    <t>INV-100382</t>
  </si>
  <si>
    <t>INV-100383</t>
  </si>
  <si>
    <t>INV-100384</t>
  </si>
  <si>
    <t>INV-100385</t>
  </si>
  <si>
    <t>INV-100386</t>
  </si>
  <si>
    <t>INV-100387</t>
  </si>
  <si>
    <t>INV-100388</t>
  </si>
  <si>
    <t>INV-100389</t>
  </si>
  <si>
    <t>INV-100390</t>
  </si>
  <si>
    <t>INV-100391</t>
  </si>
  <si>
    <t>INV-100392</t>
  </si>
  <si>
    <t>INV-100393</t>
  </si>
  <si>
    <t>INV-100394</t>
  </si>
  <si>
    <t>INV-100395</t>
  </si>
  <si>
    <t>INV-100396</t>
  </si>
  <si>
    <t>INV-100397</t>
  </si>
  <si>
    <t>INV-100398</t>
  </si>
  <si>
    <t>INV-100399</t>
  </si>
  <si>
    <t>INV-100400</t>
  </si>
  <si>
    <t>INV-100401</t>
  </si>
  <si>
    <t>INV-100402</t>
  </si>
  <si>
    <t>INV-100403</t>
  </si>
  <si>
    <t>INV-100404</t>
  </si>
  <si>
    <t>INV-100405</t>
  </si>
  <si>
    <t>INV-100406</t>
  </si>
  <si>
    <t>INV-100407</t>
  </si>
  <si>
    <t>INV-100408</t>
  </si>
  <si>
    <t>INV-100409</t>
  </si>
  <si>
    <t>INV-100410</t>
  </si>
  <si>
    <t>INV-100411</t>
  </si>
  <si>
    <t>INV-100412</t>
  </si>
  <si>
    <t>INV-100413</t>
  </si>
  <si>
    <t>INV-100414</t>
  </si>
  <si>
    <t>INV-100415</t>
  </si>
  <si>
    <t>INV-100416</t>
  </si>
  <si>
    <t>INV-100417</t>
  </si>
  <si>
    <t>INV-100418</t>
  </si>
  <si>
    <t>INV-100419</t>
  </si>
  <si>
    <t>INV-100420</t>
  </si>
  <si>
    <t>INV-100421</t>
  </si>
  <si>
    <t>INV-100422</t>
  </si>
  <si>
    <t>INV-100423</t>
  </si>
  <si>
    <t>INV-100424</t>
  </si>
  <si>
    <t>INV-100425</t>
  </si>
  <si>
    <t>INV-100426</t>
  </si>
  <si>
    <t>INV-100427</t>
  </si>
  <si>
    <t>INV-100428</t>
  </si>
  <si>
    <t>INV-100429</t>
  </si>
  <si>
    <t>INV-100430</t>
  </si>
  <si>
    <t>INV-100431</t>
  </si>
  <si>
    <t>INV-100432</t>
  </si>
  <si>
    <t>INV-100433</t>
  </si>
  <si>
    <t>INV-100434</t>
  </si>
  <si>
    <t>INV-100435</t>
  </si>
  <si>
    <t>INV-100436</t>
  </si>
  <si>
    <t>INV-100437</t>
  </si>
  <si>
    <t>INV-100438</t>
  </si>
  <si>
    <t>INV-100439</t>
  </si>
  <si>
    <t>INV-100440</t>
  </si>
  <si>
    <t>INV-100441</t>
  </si>
  <si>
    <t>INV-100442</t>
  </si>
  <si>
    <t>INV-100443</t>
  </si>
  <si>
    <t>INV-100444</t>
  </si>
  <si>
    <t>INV-100445</t>
  </si>
  <si>
    <t>INV-100446</t>
  </si>
  <si>
    <t>INV-100447</t>
  </si>
  <si>
    <t>INV-100448</t>
  </si>
  <si>
    <t>INV-100449</t>
  </si>
  <si>
    <t>INV-100450</t>
  </si>
  <si>
    <t>INV-100451</t>
  </si>
  <si>
    <t>INV-100452</t>
  </si>
  <si>
    <t>INV-100453</t>
  </si>
  <si>
    <t>INV-100454</t>
  </si>
  <si>
    <t>INV-100455</t>
  </si>
  <si>
    <t>INV-100456</t>
  </si>
  <si>
    <t>INV-100457</t>
  </si>
  <si>
    <t>INV-100458</t>
  </si>
  <si>
    <t>INV-100459</t>
  </si>
  <si>
    <t>INV-100460</t>
  </si>
  <si>
    <t>INV-100461</t>
  </si>
  <si>
    <t>INV-100462</t>
  </si>
  <si>
    <t>INV-100463</t>
  </si>
  <si>
    <t>INV-100464</t>
  </si>
  <si>
    <t>INV-100465</t>
  </si>
  <si>
    <t>INV-100466</t>
  </si>
  <si>
    <t>INV-100467</t>
  </si>
  <si>
    <t>INV-100468</t>
  </si>
  <si>
    <t>INV-100469</t>
  </si>
  <si>
    <t>INV-100470</t>
  </si>
  <si>
    <t>INV-100471</t>
  </si>
  <si>
    <t>INV-100472</t>
  </si>
  <si>
    <t>INV-100473</t>
  </si>
  <si>
    <t>INV-100474</t>
  </si>
  <si>
    <t>INV-100475</t>
  </si>
  <si>
    <t>INV-100476</t>
  </si>
  <si>
    <t>INV-100477</t>
  </si>
  <si>
    <t>INV-100478</t>
  </si>
  <si>
    <t>INV-100479</t>
  </si>
  <si>
    <t>INV-100480</t>
  </si>
  <si>
    <t>INV-100481</t>
  </si>
  <si>
    <t>INV-100482</t>
  </si>
  <si>
    <t>INV-100483</t>
  </si>
  <si>
    <t>INV-100484</t>
  </si>
  <si>
    <t>INV-100485</t>
  </si>
  <si>
    <t>INV-100486</t>
  </si>
  <si>
    <t>INV-100487</t>
  </si>
  <si>
    <t>INV-100488</t>
  </si>
  <si>
    <t>INV-100489</t>
  </si>
  <si>
    <t>INV-100490</t>
  </si>
  <si>
    <t>INV-100491</t>
  </si>
  <si>
    <t>INV-100492</t>
  </si>
  <si>
    <t>INV-100493</t>
  </si>
  <si>
    <t>INV-100494</t>
  </si>
  <si>
    <t>INV-100495</t>
  </si>
  <si>
    <t>INV-100496</t>
  </si>
  <si>
    <t>INV-100497</t>
  </si>
  <si>
    <t>INV-100498</t>
  </si>
  <si>
    <t>INV-100499</t>
  </si>
  <si>
    <t>INV-100500</t>
  </si>
  <si>
    <t>INV-100501</t>
  </si>
  <si>
    <t>INV-100502</t>
  </si>
  <si>
    <t>INV-100503</t>
  </si>
  <si>
    <t>INV-100504</t>
  </si>
  <si>
    <t>INV-100505</t>
  </si>
  <si>
    <t>INV-100506</t>
  </si>
  <si>
    <t>INV-100507</t>
  </si>
  <si>
    <t>INV-100508</t>
  </si>
  <si>
    <t>INV-100509</t>
  </si>
  <si>
    <t>INV-100510</t>
  </si>
  <si>
    <t>INV-100511</t>
  </si>
  <si>
    <t>INV-100512</t>
  </si>
  <si>
    <t>INV-100513</t>
  </si>
  <si>
    <t>INV-100514</t>
  </si>
  <si>
    <t>INV-100515</t>
  </si>
  <si>
    <t>INV-100516</t>
  </si>
  <si>
    <t>INV-100517</t>
  </si>
  <si>
    <t>INV-100518</t>
  </si>
  <si>
    <t>INV-100519</t>
  </si>
  <si>
    <t>INV-100520</t>
  </si>
  <si>
    <t>INV-100521</t>
  </si>
  <si>
    <t>INV-100522</t>
  </si>
  <si>
    <t>INV-100523</t>
  </si>
  <si>
    <t>INV-100524</t>
  </si>
  <si>
    <t>INV-100525</t>
  </si>
  <si>
    <t>INV-100526</t>
  </si>
  <si>
    <t>INV-100527</t>
  </si>
  <si>
    <t>INV-100528</t>
  </si>
  <si>
    <t>INV-100529</t>
  </si>
  <si>
    <t>INV-100530</t>
  </si>
  <si>
    <t>INV-100531</t>
  </si>
  <si>
    <t>INV-100532</t>
  </si>
  <si>
    <t>INV-100533</t>
  </si>
  <si>
    <t>INV-100534</t>
  </si>
  <si>
    <t>INV-100535</t>
  </si>
  <si>
    <t>INV-100536</t>
  </si>
  <si>
    <t>INV-100537</t>
  </si>
  <si>
    <t>INV-100538</t>
  </si>
  <si>
    <t>INV-100539</t>
  </si>
  <si>
    <t>INV-100540</t>
  </si>
  <si>
    <t>INV-100541</t>
  </si>
  <si>
    <t>INV-100542</t>
  </si>
  <si>
    <t>INV-100543</t>
  </si>
  <si>
    <t>INV-100544</t>
  </si>
  <si>
    <t>INV-100545</t>
  </si>
  <si>
    <t>INV-100546</t>
  </si>
  <si>
    <t>INV-100547</t>
  </si>
  <si>
    <t>INV-100548</t>
  </si>
  <si>
    <t>INV-100549</t>
  </si>
  <si>
    <t>INV-100550</t>
  </si>
  <si>
    <t>INV-100551</t>
  </si>
  <si>
    <t>INV-100552</t>
  </si>
  <si>
    <t>INV-100553</t>
  </si>
  <si>
    <t>INV-100554</t>
  </si>
  <si>
    <t>INV-100555</t>
  </si>
  <si>
    <t>INV-100556</t>
  </si>
  <si>
    <t>INV-100557</t>
  </si>
  <si>
    <t>INV-100558</t>
  </si>
  <si>
    <t>INV-100559</t>
  </si>
  <si>
    <t>INV-100560</t>
  </si>
  <si>
    <t>INV-100561</t>
  </si>
  <si>
    <t>INV-100562</t>
  </si>
  <si>
    <t>INV-100563</t>
  </si>
  <si>
    <t>INV-100564</t>
  </si>
  <si>
    <t>INV-100565</t>
  </si>
  <si>
    <t>INV-100566</t>
  </si>
  <si>
    <t>INV-100567</t>
  </si>
  <si>
    <t>INV-100568</t>
  </si>
  <si>
    <t>INV-100569</t>
  </si>
  <si>
    <t>INV-100570</t>
  </si>
  <si>
    <t>INV-100571</t>
  </si>
  <si>
    <t>INV-100572</t>
  </si>
  <si>
    <t>INV-100573</t>
  </si>
  <si>
    <t>INV-100574</t>
  </si>
  <si>
    <t>INV-100575</t>
  </si>
  <si>
    <t>INV-100576</t>
  </si>
  <si>
    <t>INV-100577</t>
  </si>
  <si>
    <t>INV-100578</t>
  </si>
  <si>
    <t>INV-100579</t>
  </si>
  <si>
    <t>INV-100580</t>
  </si>
  <si>
    <t>INV-100581</t>
  </si>
  <si>
    <t>INV-100582</t>
  </si>
  <si>
    <t>INV-100583</t>
  </si>
  <si>
    <t>INV-100584</t>
  </si>
  <si>
    <t>INV-100585</t>
  </si>
  <si>
    <t>INV-100586</t>
  </si>
  <si>
    <t>INV-100587</t>
  </si>
  <si>
    <t>INV-100588</t>
  </si>
  <si>
    <t>INV-100589</t>
  </si>
  <si>
    <t>INV-100590</t>
  </si>
  <si>
    <t>INV-100591</t>
  </si>
  <si>
    <t>INV-100592</t>
  </si>
  <si>
    <t>INV-100593</t>
  </si>
  <si>
    <t>INV-100594</t>
  </si>
  <si>
    <t>INV-100595</t>
  </si>
  <si>
    <t>INV-100596</t>
  </si>
  <si>
    <t>INV-100597</t>
  </si>
  <si>
    <t>INV-100598</t>
  </si>
  <si>
    <t>INV-100599</t>
  </si>
  <si>
    <t>INV-100600</t>
  </si>
  <si>
    <t>INV-100601</t>
  </si>
  <si>
    <t>INV-100602</t>
  </si>
  <si>
    <t>INV-100603</t>
  </si>
  <si>
    <t>INV-100604</t>
  </si>
  <si>
    <t>INV-100605</t>
  </si>
  <si>
    <t>INV-100606</t>
  </si>
  <si>
    <t>INV-100607</t>
  </si>
  <si>
    <t>INV-100608</t>
  </si>
  <si>
    <t>INV-100609</t>
  </si>
  <si>
    <t>INV-100610</t>
  </si>
  <si>
    <t>INV-100611</t>
  </si>
  <si>
    <t>INV-100612</t>
  </si>
  <si>
    <t>INV-100613</t>
  </si>
  <si>
    <t>INV-100614</t>
  </si>
  <si>
    <t>INV-100615</t>
  </si>
  <si>
    <t>INV-100616</t>
  </si>
  <si>
    <t>INV-100617</t>
  </si>
  <si>
    <t>INV-100618</t>
  </si>
  <si>
    <t>INV-100619</t>
  </si>
  <si>
    <t>INV-100620</t>
  </si>
  <si>
    <t>INV-100621</t>
  </si>
  <si>
    <t>INV-100622</t>
  </si>
  <si>
    <t>INV-100623</t>
  </si>
  <si>
    <t>INV-100624</t>
  </si>
  <si>
    <t>INV-100625</t>
  </si>
  <si>
    <t>INV-100626</t>
  </si>
  <si>
    <t>INV-100627</t>
  </si>
  <si>
    <t>INV-100628</t>
  </si>
  <si>
    <t>INV-100629</t>
  </si>
  <si>
    <t>INV-100630</t>
  </si>
  <si>
    <t>INV-100631</t>
  </si>
  <si>
    <t>INV-100632</t>
  </si>
  <si>
    <t>INV-100633</t>
  </si>
  <si>
    <t>INV-100634</t>
  </si>
  <si>
    <t>INV-100635</t>
  </si>
  <si>
    <t>INV-100636</t>
  </si>
  <si>
    <t>INV-100637</t>
  </si>
  <si>
    <t>INV-100638</t>
  </si>
  <si>
    <t>INV-100639</t>
  </si>
  <si>
    <t>INV-100640</t>
  </si>
  <si>
    <t>INV-100641</t>
  </si>
  <si>
    <t>INV-100642</t>
  </si>
  <si>
    <t>INV-100643</t>
  </si>
  <si>
    <t>INV-100644</t>
  </si>
  <si>
    <t>INV-100645</t>
  </si>
  <si>
    <t>INV-100646</t>
  </si>
  <si>
    <t>INV-100647</t>
  </si>
  <si>
    <t>INV-100648</t>
  </si>
  <si>
    <t>INV-100649</t>
  </si>
  <si>
    <t>INV-100650</t>
  </si>
  <si>
    <t>INV-100651</t>
  </si>
  <si>
    <t>INV-100652</t>
  </si>
  <si>
    <t>INV-100653</t>
  </si>
  <si>
    <t>INV-100654</t>
  </si>
  <si>
    <t>INV-100655</t>
  </si>
  <si>
    <t>INV-100656</t>
  </si>
  <si>
    <t>INV-100657</t>
  </si>
  <si>
    <t>INV-100658</t>
  </si>
  <si>
    <t>INV-100659</t>
  </si>
  <si>
    <t>INV-100660</t>
  </si>
  <si>
    <t>INV-100661</t>
  </si>
  <si>
    <t>INV-100662</t>
  </si>
  <si>
    <t>INV-100663</t>
  </si>
  <si>
    <t>INV-100664</t>
  </si>
  <si>
    <t>INV-100665</t>
  </si>
  <si>
    <t>INV-100666</t>
  </si>
  <si>
    <t>INV-100667</t>
  </si>
  <si>
    <t>INV-100668</t>
  </si>
  <si>
    <t>INV-100669</t>
  </si>
  <si>
    <t>INV-100670</t>
  </si>
  <si>
    <t>INV-100671</t>
  </si>
  <si>
    <t>INV-100672</t>
  </si>
  <si>
    <t>INV-100673</t>
  </si>
  <si>
    <t>INV-100674</t>
  </si>
  <si>
    <t>INV-100675</t>
  </si>
  <si>
    <t>INV-100676</t>
  </si>
  <si>
    <t>INV-100677</t>
  </si>
  <si>
    <t>INV-100678</t>
  </si>
  <si>
    <t>INV-100679</t>
  </si>
  <si>
    <t>INV-100680</t>
  </si>
  <si>
    <t>INV-100681</t>
  </si>
  <si>
    <t>INV-100682</t>
  </si>
  <si>
    <t>INV-100683</t>
  </si>
  <si>
    <t>INV-100684</t>
  </si>
  <si>
    <t>INV-100685</t>
  </si>
  <si>
    <t>INV-100686</t>
  </si>
  <si>
    <t>INV-100687</t>
  </si>
  <si>
    <t>INV-100688</t>
  </si>
  <si>
    <t>INV-100689</t>
  </si>
  <si>
    <t>INV-100690</t>
  </si>
  <si>
    <t>INV-100691</t>
  </si>
  <si>
    <t>INV-100692</t>
  </si>
  <si>
    <t>INV-100693</t>
  </si>
  <si>
    <t>INV-100694</t>
  </si>
  <si>
    <t>INV-100695</t>
  </si>
  <si>
    <t>INV-100696</t>
  </si>
  <si>
    <t>INV-100697</t>
  </si>
  <si>
    <t>INV-100698</t>
  </si>
  <si>
    <t>INV-100699</t>
  </si>
  <si>
    <t>INV-100700</t>
  </si>
  <si>
    <t>INV-100701</t>
  </si>
  <si>
    <t>INV-100702</t>
  </si>
  <si>
    <t>INV-100703</t>
  </si>
  <si>
    <t>INV-100704</t>
  </si>
  <si>
    <t>INV-100705</t>
  </si>
  <si>
    <t>INV-100706</t>
  </si>
  <si>
    <t>INV-100707</t>
  </si>
  <si>
    <t>INV-100708</t>
  </si>
  <si>
    <t>INV-100709</t>
  </si>
  <si>
    <t>INV-100710</t>
  </si>
  <si>
    <t>INV-100711</t>
  </si>
  <si>
    <t>INV-100712</t>
  </si>
  <si>
    <t>INV-100713</t>
  </si>
  <si>
    <t>INV-100714</t>
  </si>
  <si>
    <t>INV-100715</t>
  </si>
  <si>
    <t>INV-100716</t>
  </si>
  <si>
    <t>INV-100717</t>
  </si>
  <si>
    <t>INV-100718</t>
  </si>
  <si>
    <t>INV-100719</t>
  </si>
  <si>
    <t>INV-100720</t>
  </si>
  <si>
    <t>INV-100721</t>
  </si>
  <si>
    <t>INV-100722</t>
  </si>
  <si>
    <t>INV-100723</t>
  </si>
  <si>
    <t>INV-100724</t>
  </si>
  <si>
    <t>INV-100725</t>
  </si>
  <si>
    <t>INV-100726</t>
  </si>
  <si>
    <t>INV-100727</t>
  </si>
  <si>
    <t>INV-100728</t>
  </si>
  <si>
    <t>INV-100729</t>
  </si>
  <si>
    <t>INV-100730</t>
  </si>
  <si>
    <t>INV-100731</t>
  </si>
  <si>
    <t>INV-100732</t>
  </si>
  <si>
    <t>INV-100733</t>
  </si>
  <si>
    <t>INV-100734</t>
  </si>
  <si>
    <t>INV-100735</t>
  </si>
  <si>
    <t>INV-100736</t>
  </si>
  <si>
    <t>INV-100737</t>
  </si>
  <si>
    <t>INV-100738</t>
  </si>
  <si>
    <t>INV-100739</t>
  </si>
  <si>
    <t>INV-100740</t>
  </si>
  <si>
    <t>INV-100741</t>
  </si>
  <si>
    <t>INV-100742</t>
  </si>
  <si>
    <t>INV-100743</t>
  </si>
  <si>
    <t>INV-100744</t>
  </si>
  <si>
    <t>INV-100745</t>
  </si>
  <si>
    <t>INV-100746</t>
  </si>
  <si>
    <t>INV-100747</t>
  </si>
  <si>
    <t>INV-100748</t>
  </si>
  <si>
    <t>INV-100749</t>
  </si>
  <si>
    <t>INV-100750</t>
  </si>
  <si>
    <t>INV-100751</t>
  </si>
  <si>
    <t>INV-100752</t>
  </si>
  <si>
    <t>INV-100753</t>
  </si>
  <si>
    <t>INV-100754</t>
  </si>
  <si>
    <t>INV-100755</t>
  </si>
  <si>
    <t>INV-100756</t>
  </si>
  <si>
    <t>INV-100757</t>
  </si>
  <si>
    <t>INV-100758</t>
  </si>
  <si>
    <t>INV-100759</t>
  </si>
  <si>
    <t>INV-100760</t>
  </si>
  <si>
    <t>INV-100761</t>
  </si>
  <si>
    <t>INV-100762</t>
  </si>
  <si>
    <t>INV-100763</t>
  </si>
  <si>
    <t>INV-100764</t>
  </si>
  <si>
    <t>INV-100765</t>
  </si>
  <si>
    <t>INV-100766</t>
  </si>
  <si>
    <t>INV-100767</t>
  </si>
  <si>
    <t>INV-100768</t>
  </si>
  <si>
    <t>INV-100769</t>
  </si>
  <si>
    <t>INV-100770</t>
  </si>
  <si>
    <t>INV-100771</t>
  </si>
  <si>
    <t>INV-100772</t>
  </si>
  <si>
    <t>INV-100773</t>
  </si>
  <si>
    <t>INV-100774</t>
  </si>
  <si>
    <t>INV-100775</t>
  </si>
  <si>
    <t>INV-100776</t>
  </si>
  <si>
    <t>INV-100777</t>
  </si>
  <si>
    <t>INV-100778</t>
  </si>
  <si>
    <t>INV-100779</t>
  </si>
  <si>
    <t>INV-100780</t>
  </si>
  <si>
    <t>INV-100781</t>
  </si>
  <si>
    <t>INV-100782</t>
  </si>
  <si>
    <t>INV-100783</t>
  </si>
  <si>
    <t>INV-100784</t>
  </si>
  <si>
    <t>INV-100785</t>
  </si>
  <si>
    <t>INV-100786</t>
  </si>
  <si>
    <t>INV-100787</t>
  </si>
  <si>
    <t>INV-100788</t>
  </si>
  <si>
    <t>INV-100789</t>
  </si>
  <si>
    <t>INV-100790</t>
  </si>
  <si>
    <t>INV-100791</t>
  </si>
  <si>
    <t>INV-100792</t>
  </si>
  <si>
    <t>INV-100793</t>
  </si>
  <si>
    <t>INV-100794</t>
  </si>
  <si>
    <t>INV-100795</t>
  </si>
  <si>
    <t>INV-100796</t>
  </si>
  <si>
    <t>INV-100797</t>
  </si>
  <si>
    <t>INV-100798</t>
  </si>
  <si>
    <t>INV-100799</t>
  </si>
  <si>
    <t>INV-100800</t>
  </si>
  <si>
    <t>INV-100801</t>
  </si>
  <si>
    <t>INV-100802</t>
  </si>
  <si>
    <t>INV-100803</t>
  </si>
  <si>
    <t>INV-100804</t>
  </si>
  <si>
    <t>INV-100805</t>
  </si>
  <si>
    <t>INV-100806</t>
  </si>
  <si>
    <t>INV-100807</t>
  </si>
  <si>
    <t>INV-100808</t>
  </si>
  <si>
    <t>INV-100809</t>
  </si>
  <si>
    <t>INV-100810</t>
  </si>
  <si>
    <t>INV-100811</t>
  </si>
  <si>
    <t>INV-100812</t>
  </si>
  <si>
    <t>INV-100813</t>
  </si>
  <si>
    <t>INV-100814</t>
  </si>
  <si>
    <t>INV-100815</t>
  </si>
  <si>
    <t>INV-100816</t>
  </si>
  <si>
    <t>INV-100817</t>
  </si>
  <si>
    <t>INV-100818</t>
  </si>
  <si>
    <t>INV-100819</t>
  </si>
  <si>
    <t>INV-100820</t>
  </si>
  <si>
    <t>INV-100821</t>
  </si>
  <si>
    <t>INV-100822</t>
  </si>
  <si>
    <t>INV-100823</t>
  </si>
  <si>
    <t>INV-100824</t>
  </si>
  <si>
    <t>INV-100825</t>
  </si>
  <si>
    <t>INV-100826</t>
  </si>
  <si>
    <t>INV-100827</t>
  </si>
  <si>
    <t>INV-100828</t>
  </si>
  <si>
    <t>INV-100829</t>
  </si>
  <si>
    <t>INV-100830</t>
  </si>
  <si>
    <t>INV-100831</t>
  </si>
  <si>
    <t>INV-100832</t>
  </si>
  <si>
    <t>INV-100833</t>
  </si>
  <si>
    <t>INV-100834</t>
  </si>
  <si>
    <t>INV-100835</t>
  </si>
  <si>
    <t>INV-100836</t>
  </si>
  <si>
    <t>INV-100837</t>
  </si>
  <si>
    <t>INV-100838</t>
  </si>
  <si>
    <t>INV-100839</t>
  </si>
  <si>
    <t>INV-100840</t>
  </si>
  <si>
    <t>INV-100841</t>
  </si>
  <si>
    <t>INV-100842</t>
  </si>
  <si>
    <t>INV-100843</t>
  </si>
  <si>
    <t>INV-100844</t>
  </si>
  <si>
    <t>INV-100845</t>
  </si>
  <si>
    <t>INV-100846</t>
  </si>
  <si>
    <t>INV-100847</t>
  </si>
  <si>
    <t>INV-100848</t>
  </si>
  <si>
    <t>INV-100849</t>
  </si>
  <si>
    <t>INV-100850</t>
  </si>
  <si>
    <t>INV-100851</t>
  </si>
  <si>
    <t>INV-100852</t>
  </si>
  <si>
    <t>INV-100853</t>
  </si>
  <si>
    <t>INV-100854</t>
  </si>
  <si>
    <t>INV-100855</t>
  </si>
  <si>
    <t>INV-100856</t>
  </si>
  <si>
    <t>INV-100857</t>
  </si>
  <si>
    <t>INV-100858</t>
  </si>
  <si>
    <t>INV-100859</t>
  </si>
  <si>
    <t>INV-100860</t>
  </si>
  <si>
    <t>INV-100861</t>
  </si>
  <si>
    <t>INV-100862</t>
  </si>
  <si>
    <t>INV-100863</t>
  </si>
  <si>
    <t>INV-100864</t>
  </si>
  <si>
    <t>INV-100865</t>
  </si>
  <si>
    <t>INV-100866</t>
  </si>
  <si>
    <t>INV-100867</t>
  </si>
  <si>
    <t>INV-100868</t>
  </si>
  <si>
    <t>INV-100869</t>
  </si>
  <si>
    <t>INV-100870</t>
  </si>
  <si>
    <t>INV-100871</t>
  </si>
  <si>
    <t>INV-100872</t>
  </si>
  <si>
    <t>INV-100873</t>
  </si>
  <si>
    <t>INV-100874</t>
  </si>
  <si>
    <t>INV-100875</t>
  </si>
  <si>
    <t>INV-100876</t>
  </si>
  <si>
    <t>INV-100877</t>
  </si>
  <si>
    <t>INV-100878</t>
  </si>
  <si>
    <t>INV-100879</t>
  </si>
  <si>
    <t>INV-100880</t>
  </si>
  <si>
    <t>INV-100881</t>
  </si>
  <si>
    <t>INV-100882</t>
  </si>
  <si>
    <t>INV-100883</t>
  </si>
  <si>
    <t>INV-100884</t>
  </si>
  <si>
    <t>INV-100885</t>
  </si>
  <si>
    <t>INV-100886</t>
  </si>
  <si>
    <t>INV-100887</t>
  </si>
  <si>
    <t>INV-100888</t>
  </si>
  <si>
    <t>INV-100889</t>
  </si>
  <si>
    <t>INV-100890</t>
  </si>
  <si>
    <t>INV-100891</t>
  </si>
  <si>
    <t>INV-100892</t>
  </si>
  <si>
    <t>INV-100893</t>
  </si>
  <si>
    <t>INV-100894</t>
  </si>
  <si>
    <t>INV-100895</t>
  </si>
  <si>
    <t>INV-100896</t>
  </si>
  <si>
    <t>INV-100897</t>
  </si>
  <si>
    <t>INV-100898</t>
  </si>
  <si>
    <t>INV-100899</t>
  </si>
  <si>
    <t>INV-100900</t>
  </si>
  <si>
    <t>INV-100901</t>
  </si>
  <si>
    <t>INV-100902</t>
  </si>
  <si>
    <t>INV-100903</t>
  </si>
  <si>
    <t>INV-100904</t>
  </si>
  <si>
    <t>INV-100905</t>
  </si>
  <si>
    <t>INV-100906</t>
  </si>
  <si>
    <t>INV-100907</t>
  </si>
  <si>
    <t>INV-100908</t>
  </si>
  <si>
    <t>INV-100909</t>
  </si>
  <si>
    <t>INV-100910</t>
  </si>
  <si>
    <t>INV-100911</t>
  </si>
  <si>
    <t>INV-100912</t>
  </si>
  <si>
    <t>INV-100913</t>
  </si>
  <si>
    <t>INV-100914</t>
  </si>
  <si>
    <t>INV-100915</t>
  </si>
  <si>
    <t>INV-100916</t>
  </si>
  <si>
    <t>INV-100917</t>
  </si>
  <si>
    <t>INV-100918</t>
  </si>
  <si>
    <t>INV-100919</t>
  </si>
  <si>
    <t>INV-100920</t>
  </si>
  <si>
    <t>INV-100921</t>
  </si>
  <si>
    <t>INV-100922</t>
  </si>
  <si>
    <t>INV-100923</t>
  </si>
  <si>
    <t>INV-100924</t>
  </si>
  <si>
    <t>INV-100925</t>
  </si>
  <si>
    <t>INV-100926</t>
  </si>
  <si>
    <t>INV-100927</t>
  </si>
  <si>
    <t>INV-100928</t>
  </si>
  <si>
    <t>INV-100929</t>
  </si>
  <si>
    <t>INV-100930</t>
  </si>
  <si>
    <t>INV-100931</t>
  </si>
  <si>
    <t>INV-100932</t>
  </si>
  <si>
    <t>INV-100933</t>
  </si>
  <si>
    <t>INV-100934</t>
  </si>
  <si>
    <t>INV-100935</t>
  </si>
  <si>
    <t>INV-100936</t>
  </si>
  <si>
    <t>INV-100937</t>
  </si>
  <si>
    <t>INV-100938</t>
  </si>
  <si>
    <t>INV-100939</t>
  </si>
  <si>
    <t>INV-100940</t>
  </si>
  <si>
    <t>INV-100941</t>
  </si>
  <si>
    <t>INV-100942</t>
  </si>
  <si>
    <t>INV-100943</t>
  </si>
  <si>
    <t>INV-100944</t>
  </si>
  <si>
    <t>INV-100945</t>
  </si>
  <si>
    <t>INV-100946</t>
  </si>
  <si>
    <t>INV-100947</t>
  </si>
  <si>
    <t>INV-100948</t>
  </si>
  <si>
    <t>INV-100949</t>
  </si>
  <si>
    <t>INV-100950</t>
  </si>
  <si>
    <t>INV-100951</t>
  </si>
  <si>
    <t>INV-100952</t>
  </si>
  <si>
    <t>INV-100953</t>
  </si>
  <si>
    <t>INV-100954</t>
  </si>
  <si>
    <t>INV-100955</t>
  </si>
  <si>
    <t>INV-100956</t>
  </si>
  <si>
    <t>INV-100957</t>
  </si>
  <si>
    <t>INV-100958</t>
  </si>
  <si>
    <t>INV-100959</t>
  </si>
  <si>
    <t>INV-100960</t>
  </si>
  <si>
    <t>INV-100961</t>
  </si>
  <si>
    <t>INV-100962</t>
  </si>
  <si>
    <t>INV-100963</t>
  </si>
  <si>
    <t>INV-100964</t>
  </si>
  <si>
    <t>INV-100965</t>
  </si>
  <si>
    <t>INV-100966</t>
  </si>
  <si>
    <t>INV-100967</t>
  </si>
  <si>
    <t>INV-100968</t>
  </si>
  <si>
    <t>INV-100969</t>
  </si>
  <si>
    <t>INV-100970</t>
  </si>
  <si>
    <t>INV-100971</t>
  </si>
  <si>
    <t>INV-100972</t>
  </si>
  <si>
    <t>INV-100973</t>
  </si>
  <si>
    <t>INV-100974</t>
  </si>
  <si>
    <t>INV-100975</t>
  </si>
  <si>
    <t>INV-100976</t>
  </si>
  <si>
    <t>INV-100977</t>
  </si>
  <si>
    <t>INV-100978</t>
  </si>
  <si>
    <t>INV-100979</t>
  </si>
  <si>
    <t>INV-100980</t>
  </si>
  <si>
    <t>INV-100981</t>
  </si>
  <si>
    <t>INV-100982</t>
  </si>
  <si>
    <t>INV-100983</t>
  </si>
  <si>
    <t>INV-100984</t>
  </si>
  <si>
    <t>INV-100985</t>
  </si>
  <si>
    <t>INV-100986</t>
  </si>
  <si>
    <t>INV-100987</t>
  </si>
  <si>
    <t>INV-100988</t>
  </si>
  <si>
    <t>INV-100989</t>
  </si>
  <si>
    <t>INV-100990</t>
  </si>
  <si>
    <t>INV-100991</t>
  </si>
  <si>
    <t>INV-100992</t>
  </si>
  <si>
    <t>INV-100993</t>
  </si>
  <si>
    <t>INV-100994</t>
  </si>
  <si>
    <t>INV-100995</t>
  </si>
  <si>
    <t>INV-100996</t>
  </si>
  <si>
    <t>INV-100997</t>
  </si>
  <si>
    <t>INV-100998</t>
  </si>
  <si>
    <t>INV-100999</t>
  </si>
  <si>
    <t>Friday</t>
  </si>
  <si>
    <t>Sunday</t>
  </si>
  <si>
    <t>Monday</t>
  </si>
  <si>
    <t>Wednesday</t>
  </si>
  <si>
    <t>Thursday</t>
  </si>
  <si>
    <t>Tuesday</t>
  </si>
  <si>
    <t>Saturday</t>
  </si>
  <si>
    <t>21:45:45</t>
  </si>
  <si>
    <t>23:41:36</t>
  </si>
  <si>
    <t>13:12:42</t>
  </si>
  <si>
    <t>07:25:54</t>
  </si>
  <si>
    <t>23:04:43</t>
  </si>
  <si>
    <t>17:29:48</t>
  </si>
  <si>
    <t>14:35:41</t>
  </si>
  <si>
    <t>09:46:12</t>
  </si>
  <si>
    <t>12:08:38</t>
  </si>
  <si>
    <t>06:46:51</t>
  </si>
  <si>
    <t>03:52:47</t>
  </si>
  <si>
    <t>23:27:46</t>
  </si>
  <si>
    <t>06:23:52</t>
  </si>
  <si>
    <t>13:19:29</t>
  </si>
  <si>
    <t>18:06:52</t>
  </si>
  <si>
    <t>05:17:08</t>
  </si>
  <si>
    <t>15:36:01</t>
  </si>
  <si>
    <t>21:59:32</t>
  </si>
  <si>
    <t>23:53:16</t>
  </si>
  <si>
    <t>11:18:56</t>
  </si>
  <si>
    <t>06:17:21</t>
  </si>
  <si>
    <t>20:07:20</t>
  </si>
  <si>
    <t>14:40:45</t>
  </si>
  <si>
    <t>23:18:33</t>
  </si>
  <si>
    <t>23:14:29</t>
  </si>
  <si>
    <t>20:29:15</t>
  </si>
  <si>
    <t>19:23:30</t>
  </si>
  <si>
    <t>20:33:25</t>
  </si>
  <si>
    <t>23:57:13</t>
  </si>
  <si>
    <t>04:11:22</t>
  </si>
  <si>
    <t>16:17:10</t>
  </si>
  <si>
    <t>03:51:40</t>
  </si>
  <si>
    <t>14:45:40</t>
  </si>
  <si>
    <t>23:39:12</t>
  </si>
  <si>
    <t>06:27:03</t>
  </si>
  <si>
    <t>00:50:17</t>
  </si>
  <si>
    <t>06:09:59</t>
  </si>
  <si>
    <t>16:37:46</t>
  </si>
  <si>
    <t>16:01:47</t>
  </si>
  <si>
    <t>17:43:17</t>
  </si>
  <si>
    <t>12:41:54</t>
  </si>
  <si>
    <t>09:58:16</t>
  </si>
  <si>
    <t>12:14:43</t>
  </si>
  <si>
    <t>23:47:39</t>
  </si>
  <si>
    <t>10:09:59</t>
  </si>
  <si>
    <t>09:02:00</t>
  </si>
  <si>
    <t>02:13:33</t>
  </si>
  <si>
    <t>13:22:05</t>
  </si>
  <si>
    <t>03:50:26</t>
  </si>
  <si>
    <t>02:01:04</t>
  </si>
  <si>
    <t>13:11:08</t>
  </si>
  <si>
    <t>18:13:17</t>
  </si>
  <si>
    <t>06:18:32</t>
  </si>
  <si>
    <t>17:42:15</t>
  </si>
  <si>
    <t>13:41:59</t>
  </si>
  <si>
    <t>05:47:10</t>
  </si>
  <si>
    <t>08:46:49</t>
  </si>
  <si>
    <t>04:25:44</t>
  </si>
  <si>
    <t>18:58:44</t>
  </si>
  <si>
    <t>09:26:22</t>
  </si>
  <si>
    <t>08:31:14</t>
  </si>
  <si>
    <t>09:13:07</t>
  </si>
  <si>
    <t>18:16:16</t>
  </si>
  <si>
    <t>22:38:26</t>
  </si>
  <si>
    <t>06:49:20</t>
  </si>
  <si>
    <t>21:42:45</t>
  </si>
  <si>
    <t>18:38:35</t>
  </si>
  <si>
    <t>07:40:18</t>
  </si>
  <si>
    <t>05:52:58</t>
  </si>
  <si>
    <t>23:24:08</t>
  </si>
  <si>
    <t>21:38:02</t>
  </si>
  <si>
    <t>16:59:55</t>
  </si>
  <si>
    <t>21:48:05</t>
  </si>
  <si>
    <t>17:36:38</t>
  </si>
  <si>
    <t>07:56:35</t>
  </si>
  <si>
    <t>21:43:02</t>
  </si>
  <si>
    <t>22:22:01</t>
  </si>
  <si>
    <t>20:19:39</t>
  </si>
  <si>
    <t>04:07:14</t>
  </si>
  <si>
    <t>10:57:22</t>
  </si>
  <si>
    <t>04:01:34</t>
  </si>
  <si>
    <t>06:38:50</t>
  </si>
  <si>
    <t>03:44:39</t>
  </si>
  <si>
    <t>11:52:23</t>
  </si>
  <si>
    <t>16:17:44</t>
  </si>
  <si>
    <t>10:08:58</t>
  </si>
  <si>
    <t>18:06:42</t>
  </si>
  <si>
    <t>04:51:43</t>
  </si>
  <si>
    <t>21:10:14</t>
  </si>
  <si>
    <t>06:03:37</t>
  </si>
  <si>
    <t>16:09:46</t>
  </si>
  <si>
    <t>07:37:36</t>
  </si>
  <si>
    <t>12:40:40</t>
  </si>
  <si>
    <t>05:25:31</t>
  </si>
  <si>
    <t>10:47:16</t>
  </si>
  <si>
    <t>05:04:11</t>
  </si>
  <si>
    <t>09:13:52</t>
  </si>
  <si>
    <t>23:19:42</t>
  </si>
  <si>
    <t>18:34:45</t>
  </si>
  <si>
    <t>13:48:02</t>
  </si>
  <si>
    <t>04:44:02</t>
  </si>
  <si>
    <t>09:23:30</t>
  </si>
  <si>
    <t>08:30:48</t>
  </si>
  <si>
    <t>22:59:46</t>
  </si>
  <si>
    <t>12:37:30</t>
  </si>
  <si>
    <t>01:09:37</t>
  </si>
  <si>
    <t>20:40:00</t>
  </si>
  <si>
    <t>00:07:54</t>
  </si>
  <si>
    <t>01:15:02</t>
  </si>
  <si>
    <t>06:46:04</t>
  </si>
  <si>
    <t>14:06:33</t>
  </si>
  <si>
    <t>01:29:11</t>
  </si>
  <si>
    <t>19:10:20</t>
  </si>
  <si>
    <t>20:15:33</t>
  </si>
  <si>
    <t>09:10:56</t>
  </si>
  <si>
    <t>05:44:38</t>
  </si>
  <si>
    <t>10:01:59</t>
  </si>
  <si>
    <t>01:37:50</t>
  </si>
  <si>
    <t>13:14:32</t>
  </si>
  <si>
    <t>16:46:07</t>
  </si>
  <si>
    <t>20:13:55</t>
  </si>
  <si>
    <t>21:45:02</t>
  </si>
  <si>
    <t>02:21:35</t>
  </si>
  <si>
    <t>01:56:59</t>
  </si>
  <si>
    <t>02:14:46</t>
  </si>
  <si>
    <t>21:00:23</t>
  </si>
  <si>
    <t>23:49:10</t>
  </si>
  <si>
    <t>05:55:50</t>
  </si>
  <si>
    <t>16:00:31</t>
  </si>
  <si>
    <t>23:55:04</t>
  </si>
  <si>
    <t>14:18:42</t>
  </si>
  <si>
    <t>01:14:31</t>
  </si>
  <si>
    <t>19:39:50</t>
  </si>
  <si>
    <t>12:42:40</t>
  </si>
  <si>
    <t>05:05:19</t>
  </si>
  <si>
    <t>12:22:47</t>
  </si>
  <si>
    <t>14:49:38</t>
  </si>
  <si>
    <t>21:48:08</t>
  </si>
  <si>
    <t>07:17:54</t>
  </si>
  <si>
    <t>05:02:22</t>
  </si>
  <si>
    <t>05:30:08</t>
  </si>
  <si>
    <t>12:44:29</t>
  </si>
  <si>
    <t>01:36:21</t>
  </si>
  <si>
    <t>16:54:19</t>
  </si>
  <si>
    <t>08:25:11</t>
  </si>
  <si>
    <t>01:53:24</t>
  </si>
  <si>
    <t>22:26:14</t>
  </si>
  <si>
    <t>08:09:36</t>
  </si>
  <si>
    <t>08:48:00</t>
  </si>
  <si>
    <t>23:47:36</t>
  </si>
  <si>
    <t>11:58:42</t>
  </si>
  <si>
    <t>23:06:59</t>
  </si>
  <si>
    <t>22:08:34</t>
  </si>
  <si>
    <t>05:46:23</t>
  </si>
  <si>
    <t>19:03:17</t>
  </si>
  <si>
    <t>23:36:24</t>
  </si>
  <si>
    <t>07:17:13</t>
  </si>
  <si>
    <t>20:33:47</t>
  </si>
  <si>
    <t>07:22:28</t>
  </si>
  <si>
    <t>08:37:25</t>
  </si>
  <si>
    <t>08:25:29</t>
  </si>
  <si>
    <t>08:33:46</t>
  </si>
  <si>
    <t>09:51:52</t>
  </si>
  <si>
    <t>01:40:19</t>
  </si>
  <si>
    <t>03:56:13</t>
  </si>
  <si>
    <t>00:09:51</t>
  </si>
  <si>
    <t>06:11:58</t>
  </si>
  <si>
    <t>03:00:10</t>
  </si>
  <si>
    <t>07:34:59</t>
  </si>
  <si>
    <t>06:15:43</t>
  </si>
  <si>
    <t>22:08:37</t>
  </si>
  <si>
    <t>10:52:20</t>
  </si>
  <si>
    <t>03:15:12</t>
  </si>
  <si>
    <t>01:46:09</t>
  </si>
  <si>
    <t>05:30:47</t>
  </si>
  <si>
    <t>22:00:21</t>
  </si>
  <si>
    <t>09:54:10</t>
  </si>
  <si>
    <t>09:03:46</t>
  </si>
  <si>
    <t>07:27:17</t>
  </si>
  <si>
    <t>01:47:10</t>
  </si>
  <si>
    <t>10:07:47</t>
  </si>
  <si>
    <t>04:23:19</t>
  </si>
  <si>
    <t>01:01:09</t>
  </si>
  <si>
    <t>12:29:55</t>
  </si>
  <si>
    <t>05:21:38</t>
  </si>
  <si>
    <t>19:46:05</t>
  </si>
  <si>
    <t>17:01:55</t>
  </si>
  <si>
    <t>03:33:08</t>
  </si>
  <si>
    <t>06:03:05</t>
  </si>
  <si>
    <t>13:30:33</t>
  </si>
  <si>
    <t>17:03:59</t>
  </si>
  <si>
    <t>02:20:48</t>
  </si>
  <si>
    <t>21:42:02</t>
  </si>
  <si>
    <t>14:03:10</t>
  </si>
  <si>
    <t>03:59:18</t>
  </si>
  <si>
    <t>20:57:45</t>
  </si>
  <si>
    <t>12:35:40</t>
  </si>
  <si>
    <t>16:40:42</t>
  </si>
  <si>
    <t>03:07:19</t>
  </si>
  <si>
    <t>18:47:44</t>
  </si>
  <si>
    <t>07:56:18</t>
  </si>
  <si>
    <t>23:30:45</t>
  </si>
  <si>
    <t>00:43:25</t>
  </si>
  <si>
    <t>12:06:05</t>
  </si>
  <si>
    <t>14:50:47</t>
  </si>
  <si>
    <t>13:03:52</t>
  </si>
  <si>
    <t>20:35:59</t>
  </si>
  <si>
    <t>23:52:48</t>
  </si>
  <si>
    <t>21:32:37</t>
  </si>
  <si>
    <t>10:53:58</t>
  </si>
  <si>
    <t>19:23:37</t>
  </si>
  <si>
    <t>13:02:26</t>
  </si>
  <si>
    <t>10:45:28</t>
  </si>
  <si>
    <t>23:04:03</t>
  </si>
  <si>
    <t>05:57:34</t>
  </si>
  <si>
    <t>04:35:02</t>
  </si>
  <si>
    <t>10:22:26</t>
  </si>
  <si>
    <t>11:27:32</t>
  </si>
  <si>
    <t>15:34:49</t>
  </si>
  <si>
    <t>23:56:46</t>
  </si>
  <si>
    <t>12:30:01</t>
  </si>
  <si>
    <t>20:23:43</t>
  </si>
  <si>
    <t>17:20:30</t>
  </si>
  <si>
    <t>22:16:53</t>
  </si>
  <si>
    <t>15:38:26</t>
  </si>
  <si>
    <t>10:55:38</t>
  </si>
  <si>
    <t>13:21:41</t>
  </si>
  <si>
    <t>00:33:39</t>
  </si>
  <si>
    <t>18:03:22</t>
  </si>
  <si>
    <t>21:34:53</t>
  </si>
  <si>
    <t>09:46:30</t>
  </si>
  <si>
    <t>12:13:51</t>
  </si>
  <si>
    <t>00:43:18</t>
  </si>
  <si>
    <t>16:25:56</t>
  </si>
  <si>
    <t>18:30:49</t>
  </si>
  <si>
    <t>05:43:27</t>
  </si>
  <si>
    <t>14:02:41</t>
  </si>
  <si>
    <t>11:18:50</t>
  </si>
  <si>
    <t>19:36:54</t>
  </si>
  <si>
    <t>16:40:49</t>
  </si>
  <si>
    <t>17:30:11</t>
  </si>
  <si>
    <t>13:30:34</t>
  </si>
  <si>
    <t>19:44:27</t>
  </si>
  <si>
    <t>00:32:45</t>
  </si>
  <si>
    <t>02:25:08</t>
  </si>
  <si>
    <t>06:26:21</t>
  </si>
  <si>
    <t>09:49:11</t>
  </si>
  <si>
    <t>17:24:32</t>
  </si>
  <si>
    <t>15:27:14</t>
  </si>
  <si>
    <t>08:15:50</t>
  </si>
  <si>
    <t>11:50:33</t>
  </si>
  <si>
    <t>13:00:27</t>
  </si>
  <si>
    <t>10:15:16</t>
  </si>
  <si>
    <t>07:16:42</t>
  </si>
  <si>
    <t>18:29:18</t>
  </si>
  <si>
    <t>13:03:49</t>
  </si>
  <si>
    <t>21:54:20</t>
  </si>
  <si>
    <t>15:13:24</t>
  </si>
  <si>
    <t>16:12:21</t>
  </si>
  <si>
    <t>09:53:07</t>
  </si>
  <si>
    <t>08:53:13</t>
  </si>
  <si>
    <t>16:46:02</t>
  </si>
  <si>
    <t>22:49:56</t>
  </si>
  <si>
    <t>10:57:33</t>
  </si>
  <si>
    <t>18:59:15</t>
  </si>
  <si>
    <t>08:19:55</t>
  </si>
  <si>
    <t>18:39:51</t>
  </si>
  <si>
    <t>13:40:37</t>
  </si>
  <si>
    <t>08:11:07</t>
  </si>
  <si>
    <t>06:29:14</t>
  </si>
  <si>
    <t>15:33:01</t>
  </si>
  <si>
    <t>16:54:20</t>
  </si>
  <si>
    <t>03:13:39</t>
  </si>
  <si>
    <t>21:46:18</t>
  </si>
  <si>
    <t>18:54:07</t>
  </si>
  <si>
    <t>18:14:07</t>
  </si>
  <si>
    <t>09:15:58</t>
  </si>
  <si>
    <t>22:38:15</t>
  </si>
  <si>
    <t>16:49:14</t>
  </si>
  <si>
    <t>20:44:03</t>
  </si>
  <si>
    <t>00:28:56</t>
  </si>
  <si>
    <t>22:58:08</t>
  </si>
  <si>
    <t>13:18:42</t>
  </si>
  <si>
    <t>09:13:06</t>
  </si>
  <si>
    <t>08:27:22</t>
  </si>
  <si>
    <t>09:27:42</t>
  </si>
  <si>
    <t>13:38:50</t>
  </si>
  <si>
    <t>14:52:32</t>
  </si>
  <si>
    <t>10:29:04</t>
  </si>
  <si>
    <t>15:09:50</t>
  </si>
  <si>
    <t>10:18:43</t>
  </si>
  <si>
    <t>10:47:17</t>
  </si>
  <si>
    <t>01:48:22</t>
  </si>
  <si>
    <t>05:22:25</t>
  </si>
  <si>
    <t>01:01:39</t>
  </si>
  <si>
    <t>22:25:15</t>
  </si>
  <si>
    <t>03:55:19</t>
  </si>
  <si>
    <t>04:43:15</t>
  </si>
  <si>
    <t>06:17:48</t>
  </si>
  <si>
    <t>00:38:05</t>
  </si>
  <si>
    <t>09:23:51</t>
  </si>
  <si>
    <t>19:11:44</t>
  </si>
  <si>
    <t>06:20:42</t>
  </si>
  <si>
    <t>22:41:20</t>
  </si>
  <si>
    <t>12:21:35</t>
  </si>
  <si>
    <t>16:26:46</t>
  </si>
  <si>
    <t>20:21:26</t>
  </si>
  <si>
    <t>08:07:07</t>
  </si>
  <si>
    <t>03:08:45</t>
  </si>
  <si>
    <t>09:09:45</t>
  </si>
  <si>
    <t>22:34:05</t>
  </si>
  <si>
    <t>23:29:59</t>
  </si>
  <si>
    <t>07:33:24</t>
  </si>
  <si>
    <t>00:59:47</t>
  </si>
  <si>
    <t>09:30:23</t>
  </si>
  <si>
    <t>07:46:39</t>
  </si>
  <si>
    <t>13:46:18</t>
  </si>
  <si>
    <t>02:24:17</t>
  </si>
  <si>
    <t>21:57:19</t>
  </si>
  <si>
    <t>10:02:05</t>
  </si>
  <si>
    <t>05:42:39</t>
  </si>
  <si>
    <t>20:01:30</t>
  </si>
  <si>
    <t>12:57:34</t>
  </si>
  <si>
    <t>08:21:43</t>
  </si>
  <si>
    <t>13:33:22</t>
  </si>
  <si>
    <t>15:50:15</t>
  </si>
  <si>
    <t>11:41:38</t>
  </si>
  <si>
    <t>04:00:33</t>
  </si>
  <si>
    <t>03:28:00</t>
  </si>
  <si>
    <t>15:39:38</t>
  </si>
  <si>
    <t>13:29:34</t>
  </si>
  <si>
    <t>02:02:15</t>
  </si>
  <si>
    <t>22:09:14</t>
  </si>
  <si>
    <t>21:54:37</t>
  </si>
  <si>
    <t>20:33:54</t>
  </si>
  <si>
    <t>09:21:06</t>
  </si>
  <si>
    <t>00:06:23</t>
  </si>
  <si>
    <t>05:34:01</t>
  </si>
  <si>
    <t>12:40:52</t>
  </si>
  <si>
    <t>06:50:25</t>
  </si>
  <si>
    <t>01:51:51</t>
  </si>
  <si>
    <t>20:41:50</t>
  </si>
  <si>
    <t>10:00:17</t>
  </si>
  <si>
    <t>00:32:30</t>
  </si>
  <si>
    <t>18:17:41</t>
  </si>
  <si>
    <t>15:12:02</t>
  </si>
  <si>
    <t>10:43:12</t>
  </si>
  <si>
    <t>19:08:39</t>
  </si>
  <si>
    <t>11:07:04</t>
  </si>
  <si>
    <t>22:16:43</t>
  </si>
  <si>
    <t>10:58:03</t>
  </si>
  <si>
    <t>02:31:51</t>
  </si>
  <si>
    <t>13:57:10</t>
  </si>
  <si>
    <t>14:30:30</t>
  </si>
  <si>
    <t>05:31:29</t>
  </si>
  <si>
    <t>03:16:20</t>
  </si>
  <si>
    <t>15:05:42</t>
  </si>
  <si>
    <t>23:44:34</t>
  </si>
  <si>
    <t>02:34:14</t>
  </si>
  <si>
    <t>07:15:48</t>
  </si>
  <si>
    <t>12:46:31</t>
  </si>
  <si>
    <t>13:32:10</t>
  </si>
  <si>
    <t>11:49:19</t>
  </si>
  <si>
    <t>17:35:20</t>
  </si>
  <si>
    <t>17:03:04</t>
  </si>
  <si>
    <t>21:57:56</t>
  </si>
  <si>
    <t>15:43:53</t>
  </si>
  <si>
    <t>19:07:00</t>
  </si>
  <si>
    <t>12:21:51</t>
  </si>
  <si>
    <t>01:03:06</t>
  </si>
  <si>
    <t>14:33:27</t>
  </si>
  <si>
    <t>17:01:21</t>
  </si>
  <si>
    <t>21:55:11</t>
  </si>
  <si>
    <t>11:11:11</t>
  </si>
  <si>
    <t>12:40:09</t>
  </si>
  <si>
    <t>02:45:57</t>
  </si>
  <si>
    <t>08:43:43</t>
  </si>
  <si>
    <t>09:11:59</t>
  </si>
  <si>
    <t>07:52:41</t>
  </si>
  <si>
    <t>20:20:03</t>
  </si>
  <si>
    <t>12:18:21</t>
  </si>
  <si>
    <t>19:45:35</t>
  </si>
  <si>
    <t>08:27:47</t>
  </si>
  <si>
    <t>21:23:47</t>
  </si>
  <si>
    <t>02:01:22</t>
  </si>
  <si>
    <t>19:51:37</t>
  </si>
  <si>
    <t>12:41:01</t>
  </si>
  <si>
    <t>18:30:30</t>
  </si>
  <si>
    <t>12:50:04</t>
  </si>
  <si>
    <t>11:29:26</t>
  </si>
  <si>
    <t>21:59:23</t>
  </si>
  <si>
    <t>06:11:28</t>
  </si>
  <si>
    <t>23:39:35</t>
  </si>
  <si>
    <t>14:43:25</t>
  </si>
  <si>
    <t>11:35:14</t>
  </si>
  <si>
    <t>19:20:45</t>
  </si>
  <si>
    <t>07:50:20</t>
  </si>
  <si>
    <t>22:54:19</t>
  </si>
  <si>
    <t>18:49:48</t>
  </si>
  <si>
    <t>01:47:08</t>
  </si>
  <si>
    <t>21:09:47</t>
  </si>
  <si>
    <t>09:42:13</t>
  </si>
  <si>
    <t>15:38:27</t>
  </si>
  <si>
    <t>21:03:32</t>
  </si>
  <si>
    <t>17:02:29</t>
  </si>
  <si>
    <t>08:35:38</t>
  </si>
  <si>
    <t>08:12:54</t>
  </si>
  <si>
    <t>03:23:03</t>
  </si>
  <si>
    <t>11:06:45</t>
  </si>
  <si>
    <t>21:53:01</t>
  </si>
  <si>
    <t>03:21:55</t>
  </si>
  <si>
    <t>19:52:29</t>
  </si>
  <si>
    <t>21:03:02</t>
  </si>
  <si>
    <t>06:54:20</t>
  </si>
  <si>
    <t>22:28:58</t>
  </si>
  <si>
    <t>09:02:33</t>
  </si>
  <si>
    <t>07:14:10</t>
  </si>
  <si>
    <t>23:07:01</t>
  </si>
  <si>
    <t>03:58:53</t>
  </si>
  <si>
    <t>01:42:10</t>
  </si>
  <si>
    <t>02:13:55</t>
  </si>
  <si>
    <t>21:45:03</t>
  </si>
  <si>
    <t>09:10:30</t>
  </si>
  <si>
    <t>05:05:53</t>
  </si>
  <si>
    <t>22:51:32</t>
  </si>
  <si>
    <t>05:07:48</t>
  </si>
  <si>
    <t>04:40:35</t>
  </si>
  <si>
    <t>07:10:46</t>
  </si>
  <si>
    <t>08:27:01</t>
  </si>
  <si>
    <t>05:20:09</t>
  </si>
  <si>
    <t>12:19:58</t>
  </si>
  <si>
    <t>15:12:54</t>
  </si>
  <si>
    <t>08:21:14</t>
  </si>
  <si>
    <t>20:23:26</t>
  </si>
  <si>
    <t>06:38:54</t>
  </si>
  <si>
    <t>08:01:19</t>
  </si>
  <si>
    <t>03:07:20</t>
  </si>
  <si>
    <t>22:07:57</t>
  </si>
  <si>
    <t>16:26:00</t>
  </si>
  <si>
    <t>22:42:07</t>
  </si>
  <si>
    <t>07:01:14</t>
  </si>
  <si>
    <t>20:11:15</t>
  </si>
  <si>
    <t>09:29:57</t>
  </si>
  <si>
    <t>09:45:06</t>
  </si>
  <si>
    <t>04:07:29</t>
  </si>
  <si>
    <t>10:20:06</t>
  </si>
  <si>
    <t>10:23:42</t>
  </si>
  <si>
    <t>01:16:15</t>
  </si>
  <si>
    <t>13:53:07</t>
  </si>
  <si>
    <t>00:32:07</t>
  </si>
  <si>
    <t>05:55:38</t>
  </si>
  <si>
    <t>18:34:53</t>
  </si>
  <si>
    <t>10:06:45</t>
  </si>
  <si>
    <t>18:28:36</t>
  </si>
  <si>
    <t>21:08:13</t>
  </si>
  <si>
    <t>23:56:21</t>
  </si>
  <si>
    <t>05:45:46</t>
  </si>
  <si>
    <t>00:14:20</t>
  </si>
  <si>
    <t>15:10:55</t>
  </si>
  <si>
    <t>13:28:11</t>
  </si>
  <si>
    <t>00:15:20</t>
  </si>
  <si>
    <t>06:36:18</t>
  </si>
  <si>
    <t>22:27:22</t>
  </si>
  <si>
    <t>17:58:57</t>
  </si>
  <si>
    <t>01:32:36</t>
  </si>
  <si>
    <t>01:52:39</t>
  </si>
  <si>
    <t>21:51:29</t>
  </si>
  <si>
    <t>23:23:30</t>
  </si>
  <si>
    <t>16:21:37</t>
  </si>
  <si>
    <t>18:19:25</t>
  </si>
  <si>
    <t>11:25:18</t>
  </si>
  <si>
    <t>07:31:29</t>
  </si>
  <si>
    <t>05:43:11</t>
  </si>
  <si>
    <t>20:09:13</t>
  </si>
  <si>
    <t>08:05:43</t>
  </si>
  <si>
    <t>05:11:02</t>
  </si>
  <si>
    <t>08:48:56</t>
  </si>
  <si>
    <t>10:20:17</t>
  </si>
  <si>
    <t>06:57:54</t>
  </si>
  <si>
    <t>15:15:52</t>
  </si>
  <si>
    <t>09:17:53</t>
  </si>
  <si>
    <t>03:55:01</t>
  </si>
  <si>
    <t>02:46:14</t>
  </si>
  <si>
    <t>23:36:07</t>
  </si>
  <si>
    <t>08:05:28</t>
  </si>
  <si>
    <t>17:10:56</t>
  </si>
  <si>
    <t>09:52:32</t>
  </si>
  <si>
    <t>11:13:50</t>
  </si>
  <si>
    <t>04:56:51</t>
  </si>
  <si>
    <t>11:35:12</t>
  </si>
  <si>
    <t>04:26:00</t>
  </si>
  <si>
    <t>08:15:57</t>
  </si>
  <si>
    <t>08:41:30</t>
  </si>
  <si>
    <t>05:15:22</t>
  </si>
  <si>
    <t>15:50:09</t>
  </si>
  <si>
    <t>16:25:34</t>
  </si>
  <si>
    <t>22:46:23</t>
  </si>
  <si>
    <t>03:21:04</t>
  </si>
  <si>
    <t>01:19:30</t>
  </si>
  <si>
    <t>05:56:23</t>
  </si>
  <si>
    <t>23:06:03</t>
  </si>
  <si>
    <t>16:42:57</t>
  </si>
  <si>
    <t>22:44:00</t>
  </si>
  <si>
    <t>05:52:41</t>
  </si>
  <si>
    <t>11:42:16</t>
  </si>
  <si>
    <t>19:43:24</t>
  </si>
  <si>
    <t>04:29:31</t>
  </si>
  <si>
    <t>12:10:36</t>
  </si>
  <si>
    <t>14:14:09</t>
  </si>
  <si>
    <t>03:28:36</t>
  </si>
  <si>
    <t>15:40:04</t>
  </si>
  <si>
    <t>08:56:56</t>
  </si>
  <si>
    <t>20:50:10</t>
  </si>
  <si>
    <t>00:57:03</t>
  </si>
  <si>
    <t>18:43:21</t>
  </si>
  <si>
    <t>03:05:49</t>
  </si>
  <si>
    <t>11:39:12</t>
  </si>
  <si>
    <t>17:30:52</t>
  </si>
  <si>
    <t>12:41:14</t>
  </si>
  <si>
    <t>23:40:19</t>
  </si>
  <si>
    <t>07:32:57</t>
  </si>
  <si>
    <t>20:41:53</t>
  </si>
  <si>
    <t>23:43:23</t>
  </si>
  <si>
    <t>05:52:37</t>
  </si>
  <si>
    <t>14:55:29</t>
  </si>
  <si>
    <t>21:54:54</t>
  </si>
  <si>
    <t>00:55:15</t>
  </si>
  <si>
    <t>07:08:35</t>
  </si>
  <si>
    <t>15:08:30</t>
  </si>
  <si>
    <t>09:54:08</t>
  </si>
  <si>
    <t>14:34:16</t>
  </si>
  <si>
    <t>00:59:52</t>
  </si>
  <si>
    <t>12:05:19</t>
  </si>
  <si>
    <t>06:31:41</t>
  </si>
  <si>
    <t>05:17:32</t>
  </si>
  <si>
    <t>05:31:50</t>
  </si>
  <si>
    <t>22:14:29</t>
  </si>
  <si>
    <t>14:02:23</t>
  </si>
  <si>
    <t>04:41:42</t>
  </si>
  <si>
    <t>04:25:24</t>
  </si>
  <si>
    <t>08:52:35</t>
  </si>
  <si>
    <t>22:40:37</t>
  </si>
  <si>
    <t>12:32:53</t>
  </si>
  <si>
    <t>23:51:32</t>
  </si>
  <si>
    <t>18:47:43</t>
  </si>
  <si>
    <t>22:24:16</t>
  </si>
  <si>
    <t>05:17:50</t>
  </si>
  <si>
    <t>00:40:29</t>
  </si>
  <si>
    <t>12:47:14</t>
  </si>
  <si>
    <t>13:52:36</t>
  </si>
  <si>
    <t>01:59:31</t>
  </si>
  <si>
    <t>18:45:10</t>
  </si>
  <si>
    <t>00:50:05</t>
  </si>
  <si>
    <t>18:17:24</t>
  </si>
  <si>
    <t>17:16:56</t>
  </si>
  <si>
    <t>04:08:52</t>
  </si>
  <si>
    <t>07:10:36</t>
  </si>
  <si>
    <t>09:51:40</t>
  </si>
  <si>
    <t>20:30:55</t>
  </si>
  <si>
    <t>22:33:31</t>
  </si>
  <si>
    <t>23:36:26</t>
  </si>
  <si>
    <t>03:53:00</t>
  </si>
  <si>
    <t>21:33:52</t>
  </si>
  <si>
    <t>11:48:40</t>
  </si>
  <si>
    <t>16:49:40</t>
  </si>
  <si>
    <t>01:55:27</t>
  </si>
  <si>
    <t>04:48:08</t>
  </si>
  <si>
    <t>01:33:23</t>
  </si>
  <si>
    <t>12:18:13</t>
  </si>
  <si>
    <t>12:30:31</t>
  </si>
  <si>
    <t>09:20:53</t>
  </si>
  <si>
    <t>12:52:16</t>
  </si>
  <si>
    <t>07:47:00</t>
  </si>
  <si>
    <t>06:41:32</t>
  </si>
  <si>
    <t>21:35:00</t>
  </si>
  <si>
    <t>19:47:43</t>
  </si>
  <si>
    <t>01:09:16</t>
  </si>
  <si>
    <t>15:02:32</t>
  </si>
  <si>
    <t>02:41:51</t>
  </si>
  <si>
    <t>20:27:27</t>
  </si>
  <si>
    <t>11:59:15</t>
  </si>
  <si>
    <t>16:58:57</t>
  </si>
  <si>
    <t>10:23:47</t>
  </si>
  <si>
    <t>10:00:22</t>
  </si>
  <si>
    <t>05:31:06</t>
  </si>
  <si>
    <t>21:47:18</t>
  </si>
  <si>
    <t>19:21:55</t>
  </si>
  <si>
    <t>03:06:54</t>
  </si>
  <si>
    <t>13:10:33</t>
  </si>
  <si>
    <t>21:34:04</t>
  </si>
  <si>
    <t>20:48:42</t>
  </si>
  <si>
    <t>13:55:08</t>
  </si>
  <si>
    <t>18:16:10</t>
  </si>
  <si>
    <t>07:59:30</t>
  </si>
  <si>
    <t>23:08:49</t>
  </si>
  <si>
    <t>16:52:14</t>
  </si>
  <si>
    <t>15:16:02</t>
  </si>
  <si>
    <t>23:35:37</t>
  </si>
  <si>
    <t>08:16:41</t>
  </si>
  <si>
    <t>18:49:02</t>
  </si>
  <si>
    <t>12:40:30</t>
  </si>
  <si>
    <t>23:52:39</t>
  </si>
  <si>
    <t>00:21:55</t>
  </si>
  <si>
    <t>19:04:13</t>
  </si>
  <si>
    <t>09:24:40</t>
  </si>
  <si>
    <t>15:54:41</t>
  </si>
  <si>
    <t>04:36:47</t>
  </si>
  <si>
    <t>11:51:22</t>
  </si>
  <si>
    <t>15:36:36</t>
  </si>
  <si>
    <t>12:57:25</t>
  </si>
  <si>
    <t>21:03:12</t>
  </si>
  <si>
    <t>13:44:10</t>
  </si>
  <si>
    <t>16:41:25</t>
  </si>
  <si>
    <t>07:19:28</t>
  </si>
  <si>
    <t>02:31:16</t>
  </si>
  <si>
    <t>16:21:33</t>
  </si>
  <si>
    <t>11:55:33</t>
  </si>
  <si>
    <t>18:56:06</t>
  </si>
  <si>
    <t>22:58:51</t>
  </si>
  <si>
    <t>04:33:37</t>
  </si>
  <si>
    <t>21:55:15</t>
  </si>
  <si>
    <t>19:31:56</t>
  </si>
  <si>
    <t>13:09:02</t>
  </si>
  <si>
    <t>02:38:56</t>
  </si>
  <si>
    <t>10:20:40</t>
  </si>
  <si>
    <t>09:48:20</t>
  </si>
  <si>
    <t>03:13:24</t>
  </si>
  <si>
    <t>15:10:52</t>
  </si>
  <si>
    <t>10:53:44</t>
  </si>
  <si>
    <t>18:21:37</t>
  </si>
  <si>
    <t>14:32:12</t>
  </si>
  <si>
    <t>17:13:24</t>
  </si>
  <si>
    <t>01:45:42</t>
  </si>
  <si>
    <t>12:51:25</t>
  </si>
  <si>
    <t>12:23:28</t>
  </si>
  <si>
    <t>08:19:45</t>
  </si>
  <si>
    <t>22:33:12</t>
  </si>
  <si>
    <t>19:05:33</t>
  </si>
  <si>
    <t>04:29:40</t>
  </si>
  <si>
    <t>19:55:01</t>
  </si>
  <si>
    <t>18:36:11</t>
  </si>
  <si>
    <t>02:14:02</t>
  </si>
  <si>
    <t>18:33:11</t>
  </si>
  <si>
    <t>02:15:49</t>
  </si>
  <si>
    <t>19:49:06</t>
  </si>
  <si>
    <t>01:15:36</t>
  </si>
  <si>
    <t>00:35:05</t>
  </si>
  <si>
    <t>20:19:23</t>
  </si>
  <si>
    <t>21:20:10</t>
  </si>
  <si>
    <t>00:09:38</t>
  </si>
  <si>
    <t>09:57:22</t>
  </si>
  <si>
    <t>02:44:24</t>
  </si>
  <si>
    <t>02:28:50</t>
  </si>
  <si>
    <t>04:23:57</t>
  </si>
  <si>
    <t>10:03:09</t>
  </si>
  <si>
    <t>18:09:08</t>
  </si>
  <si>
    <t>01:39:19</t>
  </si>
  <si>
    <t>09:51:45</t>
  </si>
  <si>
    <t>18:35:57</t>
  </si>
  <si>
    <t>05:37:09</t>
  </si>
  <si>
    <t>10:27:45</t>
  </si>
  <si>
    <t>06:48:44</t>
  </si>
  <si>
    <t>09:37:11</t>
  </si>
  <si>
    <t>22:05:51</t>
  </si>
  <si>
    <t>00:52:46</t>
  </si>
  <si>
    <t>08:00:09</t>
  </si>
  <si>
    <t>09:14:14</t>
  </si>
  <si>
    <t>16:47:05</t>
  </si>
  <si>
    <t>14:59:47</t>
  </si>
  <si>
    <t>23:54:31</t>
  </si>
  <si>
    <t>05:54:25</t>
  </si>
  <si>
    <t>04:37:14</t>
  </si>
  <si>
    <t>15:01:58</t>
  </si>
  <si>
    <t>15:47:54</t>
  </si>
  <si>
    <t>03:32:43</t>
  </si>
  <si>
    <t>14:48:23</t>
  </si>
  <si>
    <t>04:40:47</t>
  </si>
  <si>
    <t>06:41:24</t>
  </si>
  <si>
    <t>18:33:57</t>
  </si>
  <si>
    <t>17:26:46</t>
  </si>
  <si>
    <t>20:36:51</t>
  </si>
  <si>
    <t>12:28:54</t>
  </si>
  <si>
    <t>01:35:18</t>
  </si>
  <si>
    <t>07:49:50</t>
  </si>
  <si>
    <t>20:25:49</t>
  </si>
  <si>
    <t>04:46:51</t>
  </si>
  <si>
    <t>10:08:59</t>
  </si>
  <si>
    <t>17:47:34</t>
  </si>
  <si>
    <t>15:56:08</t>
  </si>
  <si>
    <t>07:01:22</t>
  </si>
  <si>
    <t>23:49:04</t>
  </si>
  <si>
    <t>23:57:24</t>
  </si>
  <si>
    <t>06:32:21</t>
  </si>
  <si>
    <t>03:47:31</t>
  </si>
  <si>
    <t>02:04:34</t>
  </si>
  <si>
    <t>08:02:04</t>
  </si>
  <si>
    <t>06:36:37</t>
  </si>
  <si>
    <t>08:02:03</t>
  </si>
  <si>
    <t>19:54:07</t>
  </si>
  <si>
    <t>17:29:47</t>
  </si>
  <si>
    <t>00:47:12</t>
  </si>
  <si>
    <t>22:38:50</t>
  </si>
  <si>
    <t>17:37:24</t>
  </si>
  <si>
    <t>18:17:59</t>
  </si>
  <si>
    <t>22:22:28</t>
  </si>
  <si>
    <t>20:45:44</t>
  </si>
  <si>
    <t>21:27:12</t>
  </si>
  <si>
    <t>23:34:47</t>
  </si>
  <si>
    <t>13:05:05</t>
  </si>
  <si>
    <t>08:46:08</t>
  </si>
  <si>
    <t>08:25:56</t>
  </si>
  <si>
    <t>00:53:56</t>
  </si>
  <si>
    <t>20:11:25</t>
  </si>
  <si>
    <t>19:53:22</t>
  </si>
  <si>
    <t>05:05:46</t>
  </si>
  <si>
    <t>08:31:57</t>
  </si>
  <si>
    <t>23:09:34</t>
  </si>
  <si>
    <t>13:31:05</t>
  </si>
  <si>
    <t>19:29:24</t>
  </si>
  <si>
    <t>05:32:46</t>
  </si>
  <si>
    <t>18:20:41</t>
  </si>
  <si>
    <t>20:20:08</t>
  </si>
  <si>
    <t>21:18:31</t>
  </si>
  <si>
    <t>00:45:45</t>
  </si>
  <si>
    <t>17:48:17</t>
  </si>
  <si>
    <t>00:45:51</t>
  </si>
  <si>
    <t>04:26:48</t>
  </si>
  <si>
    <t>01:22:18</t>
  </si>
  <si>
    <t>06:52:22</t>
  </si>
  <si>
    <t>08:44:49</t>
  </si>
  <si>
    <t>02:14:29</t>
  </si>
  <si>
    <t>20:20:00</t>
  </si>
  <si>
    <t>09:14:39</t>
  </si>
  <si>
    <t>08:06:56</t>
  </si>
  <si>
    <t>19:32:39</t>
  </si>
  <si>
    <t>06:46:12</t>
  </si>
  <si>
    <t>01:35:05</t>
  </si>
  <si>
    <t>19:24:48</t>
  </si>
  <si>
    <t>22:35:44</t>
  </si>
  <si>
    <t>11:14:15</t>
  </si>
  <si>
    <t>03:52:46</t>
  </si>
  <si>
    <t>20:49:51</t>
  </si>
  <si>
    <t>14:57:15</t>
  </si>
  <si>
    <t>10:48:29</t>
  </si>
  <si>
    <t>11:28:32</t>
  </si>
  <si>
    <t>10:21:47</t>
  </si>
  <si>
    <t>19:36:01</t>
  </si>
  <si>
    <t>15:44:46</t>
  </si>
  <si>
    <t>14:17:44</t>
  </si>
  <si>
    <t>03:02:22</t>
  </si>
  <si>
    <t>13:19:09</t>
  </si>
  <si>
    <t>04:45:34</t>
  </si>
  <si>
    <t>00:56:18</t>
  </si>
  <si>
    <t>12:59:31</t>
  </si>
  <si>
    <t>08:54:08</t>
  </si>
  <si>
    <t>06:04:44</t>
  </si>
  <si>
    <t>19:50:25</t>
  </si>
  <si>
    <t>15:56:40</t>
  </si>
  <si>
    <t>10:58:06</t>
  </si>
  <si>
    <t>07:33:05</t>
  </si>
  <si>
    <t>17:44:58</t>
  </si>
  <si>
    <t>11:16:25</t>
  </si>
  <si>
    <t>07:29:38</t>
  </si>
  <si>
    <t>07:11:17</t>
  </si>
  <si>
    <t>14:48:58</t>
  </si>
  <si>
    <t>12:44:49</t>
  </si>
  <si>
    <t>10:02:54</t>
  </si>
  <si>
    <t>04:07:40</t>
  </si>
  <si>
    <t>10:49:50</t>
  </si>
  <si>
    <t>20:59:28</t>
  </si>
  <si>
    <t>16:14:15</t>
  </si>
  <si>
    <t>19:17:44</t>
  </si>
  <si>
    <t>23:50:21</t>
  </si>
  <si>
    <t>20:00:32</t>
  </si>
  <si>
    <t>15:37:10</t>
  </si>
  <si>
    <t>16:33:45</t>
  </si>
  <si>
    <t>14:38:29</t>
  </si>
  <si>
    <t>14:06:25</t>
  </si>
  <si>
    <t>00:47:16</t>
  </si>
  <si>
    <t>11:33:23</t>
  </si>
  <si>
    <t>19:08:41</t>
  </si>
  <si>
    <t>03:49:35</t>
  </si>
  <si>
    <t>17:28:27</t>
  </si>
  <si>
    <t>07:17:33</t>
  </si>
  <si>
    <t>19:13:06</t>
  </si>
  <si>
    <t>01:38:01</t>
  </si>
  <si>
    <t>07:27:02</t>
  </si>
  <si>
    <t>13:11:22</t>
  </si>
  <si>
    <t>16:34:49</t>
  </si>
  <si>
    <t>08:46:37</t>
  </si>
  <si>
    <t>03:17:42</t>
  </si>
  <si>
    <t>15:07:23</t>
  </si>
  <si>
    <t>17:53:43</t>
  </si>
  <si>
    <t>22:36:55</t>
  </si>
  <si>
    <t>04:38:43</t>
  </si>
  <si>
    <t>02:16:03</t>
  </si>
  <si>
    <t>05:00:38</t>
  </si>
  <si>
    <t>19:59:46</t>
  </si>
  <si>
    <t>16:05:20</t>
  </si>
  <si>
    <t>07:48:38</t>
  </si>
  <si>
    <t>23:50:34</t>
  </si>
  <si>
    <t>11:54:57</t>
  </si>
  <si>
    <t>16:25:08</t>
  </si>
  <si>
    <t>14:43:56</t>
  </si>
  <si>
    <t>20:26:51</t>
  </si>
  <si>
    <t>23:03:38</t>
  </si>
  <si>
    <t>14:31:17</t>
  </si>
  <si>
    <t>08:49:51</t>
  </si>
  <si>
    <t>09:35:31</t>
  </si>
  <si>
    <t>07:03:48</t>
  </si>
  <si>
    <t>11:10:16</t>
  </si>
  <si>
    <t>07:06:30</t>
  </si>
  <si>
    <t>11:51:09</t>
  </si>
  <si>
    <t>23:57:33</t>
  </si>
  <si>
    <t>21:17:32</t>
  </si>
  <si>
    <t>10:19:20</t>
  </si>
  <si>
    <t>11:03:54</t>
  </si>
  <si>
    <t>11:18:07</t>
  </si>
  <si>
    <t>14:59:59</t>
  </si>
  <si>
    <t>04:12:27</t>
  </si>
  <si>
    <t>08:28:29</t>
  </si>
  <si>
    <t>14:43:52</t>
  </si>
  <si>
    <t>12:14:19</t>
  </si>
  <si>
    <t>20:53:26</t>
  </si>
  <si>
    <t>03:42:16</t>
  </si>
  <si>
    <t>12:00:40</t>
  </si>
  <si>
    <t>03:58:56</t>
  </si>
  <si>
    <t>15:21:21</t>
  </si>
  <si>
    <t>04:35:05</t>
  </si>
  <si>
    <t>04:08:45</t>
  </si>
  <si>
    <t>06:43:58</t>
  </si>
  <si>
    <t>05:44:39</t>
  </si>
  <si>
    <t>06:28:40</t>
  </si>
  <si>
    <t>10:48:21</t>
  </si>
  <si>
    <t>02:27:04</t>
  </si>
  <si>
    <t>01:18:49</t>
  </si>
  <si>
    <t>00:07:58</t>
  </si>
  <si>
    <t>15:54:18</t>
  </si>
  <si>
    <t>23:26:13</t>
  </si>
  <si>
    <t>15:32:06</t>
  </si>
  <si>
    <t>07:39:02</t>
  </si>
  <si>
    <t>18:53:49</t>
  </si>
  <si>
    <t>18:04:11</t>
  </si>
  <si>
    <t>08:17:39</t>
  </si>
  <si>
    <t>01:56:50</t>
  </si>
  <si>
    <t>22:22:21</t>
  </si>
  <si>
    <t>07:12:18</t>
  </si>
  <si>
    <t>22:26:24</t>
  </si>
  <si>
    <t>16:57:42</t>
  </si>
  <si>
    <t>08:59:35</t>
  </si>
  <si>
    <t>23:36:27</t>
  </si>
  <si>
    <t>01:11:08</t>
  </si>
  <si>
    <t>05:36:46</t>
  </si>
  <si>
    <t>00:49:41</t>
  </si>
  <si>
    <t>02:28:40</t>
  </si>
  <si>
    <t>05:51:20</t>
  </si>
  <si>
    <t>04:38:17</t>
  </si>
  <si>
    <t>17:11:49</t>
  </si>
  <si>
    <t>11:38:34</t>
  </si>
  <si>
    <t>01:04:43</t>
  </si>
  <si>
    <t>22:22:25</t>
  </si>
  <si>
    <t>11:09:20</t>
  </si>
  <si>
    <t>21:27:45</t>
  </si>
  <si>
    <t>05:46:15</t>
  </si>
  <si>
    <t>11:59:58</t>
  </si>
  <si>
    <t>03:30:28</t>
  </si>
  <si>
    <t>05:50:08</t>
  </si>
  <si>
    <t>21:46:54</t>
  </si>
  <si>
    <t>15:18:14</t>
  </si>
  <si>
    <t>06:22:26</t>
  </si>
  <si>
    <t>20:29:13</t>
  </si>
  <si>
    <t>05:30:21</t>
  </si>
  <si>
    <t>23:57:46</t>
  </si>
  <si>
    <t>01:35:28</t>
  </si>
  <si>
    <t>07:41:42</t>
  </si>
  <si>
    <t>21:11:15</t>
  </si>
  <si>
    <t>17:40:20</t>
  </si>
  <si>
    <t>19:04:47</t>
  </si>
  <si>
    <t>02:50:09</t>
  </si>
  <si>
    <t>17:32:10</t>
  </si>
  <si>
    <t>09:23:12</t>
  </si>
  <si>
    <t>09:20:15</t>
  </si>
  <si>
    <t>12:18:20</t>
  </si>
  <si>
    <t>20:59:21</t>
  </si>
  <si>
    <t>22:41:43</t>
  </si>
  <si>
    <t>02:17:32</t>
  </si>
  <si>
    <t>03:39:26</t>
  </si>
  <si>
    <t>11:44:13</t>
  </si>
  <si>
    <t>11:50:13</t>
  </si>
  <si>
    <t>09:18:43</t>
  </si>
  <si>
    <t>07:25:11</t>
  </si>
  <si>
    <t>15:46:50</t>
  </si>
  <si>
    <t>17:10:43</t>
  </si>
  <si>
    <t>07:48:13</t>
  </si>
  <si>
    <t>13:45:32</t>
  </si>
  <si>
    <t>22:46:45</t>
  </si>
  <si>
    <t>09:14:47</t>
  </si>
  <si>
    <t>10:22:11</t>
  </si>
  <si>
    <t>20:39:59</t>
  </si>
  <si>
    <t>13:06:14</t>
  </si>
  <si>
    <t>07:13:56</t>
  </si>
  <si>
    <t>18:17:25</t>
  </si>
  <si>
    <t>07:04:21</t>
  </si>
  <si>
    <t>19:41:36</t>
  </si>
  <si>
    <t>17:16:57</t>
  </si>
  <si>
    <t>04:50:11</t>
  </si>
  <si>
    <t>11:17:19</t>
  </si>
  <si>
    <t>01:38:59</t>
  </si>
  <si>
    <t>10:21:06</t>
  </si>
  <si>
    <t>08:52:57</t>
  </si>
  <si>
    <t>05:07:56</t>
  </si>
  <si>
    <t>21:09:10</t>
  </si>
  <si>
    <t>19:50:20</t>
  </si>
  <si>
    <t>08:54:34</t>
  </si>
  <si>
    <t>22:53:48</t>
  </si>
  <si>
    <t>09:38:57</t>
  </si>
  <si>
    <t>03:16:13</t>
  </si>
  <si>
    <t>05:50:26</t>
  </si>
  <si>
    <t>09:05:37</t>
  </si>
  <si>
    <t>05:25:08</t>
  </si>
  <si>
    <t>17:35:15</t>
  </si>
  <si>
    <t>08:37:23</t>
  </si>
  <si>
    <t>05:16:16</t>
  </si>
  <si>
    <t>02:00:53</t>
  </si>
  <si>
    <t>17:32:25</t>
  </si>
  <si>
    <t>21:38:31</t>
  </si>
  <si>
    <t>03:54:57</t>
  </si>
  <si>
    <t>23:23:53</t>
  </si>
  <si>
    <t>20:23:10</t>
  </si>
  <si>
    <t>21:28:15</t>
  </si>
  <si>
    <t>08:32:13</t>
  </si>
  <si>
    <t>06:43:56</t>
  </si>
  <si>
    <t>21:54:53</t>
  </si>
  <si>
    <t>16:11:12</t>
  </si>
  <si>
    <t>04:34:33</t>
  </si>
  <si>
    <t>10:34:50</t>
  </si>
  <si>
    <t>22:47:55</t>
  </si>
  <si>
    <t>05:04:24</t>
  </si>
  <si>
    <t>02:37:50</t>
  </si>
  <si>
    <t>07:33:38</t>
  </si>
  <si>
    <t>22:41:04</t>
  </si>
  <si>
    <t>22:01:44</t>
  </si>
  <si>
    <t>06:13:03</t>
  </si>
  <si>
    <t>10:38:04</t>
  </si>
  <si>
    <t>01:04:53</t>
  </si>
  <si>
    <t>07:00:25</t>
  </si>
  <si>
    <t>00:23:39</t>
  </si>
  <si>
    <t>02:03:56</t>
  </si>
  <si>
    <t>05:16:12</t>
  </si>
  <si>
    <t>20:04:37</t>
  </si>
  <si>
    <t>12:27:12</t>
  </si>
  <si>
    <t>19:36:05</t>
  </si>
  <si>
    <t>17:39:36</t>
  </si>
  <si>
    <t>23:06:21</t>
  </si>
  <si>
    <t>20:34:55</t>
  </si>
  <si>
    <t>02:04:38</t>
  </si>
  <si>
    <t>19:50:42</t>
  </si>
  <si>
    <t>04:15:30</t>
  </si>
  <si>
    <t>06:33:22</t>
  </si>
  <si>
    <t>13:51:41</t>
  </si>
  <si>
    <t>19:09:26</t>
  </si>
  <si>
    <t>05:51:10</t>
  </si>
  <si>
    <t>05:46:28</t>
  </si>
  <si>
    <t>04:31:32</t>
  </si>
  <si>
    <t>22:26:55</t>
  </si>
  <si>
    <t>03:02:42</t>
  </si>
  <si>
    <t>21:00:02</t>
  </si>
  <si>
    <t>11:04:48</t>
  </si>
  <si>
    <t>03:53:34</t>
  </si>
  <si>
    <t>22:16:33</t>
  </si>
  <si>
    <t>20:38:36</t>
  </si>
  <si>
    <t>16:34:21</t>
  </si>
  <si>
    <t>23:06:40</t>
  </si>
  <si>
    <t>12:38:02</t>
  </si>
  <si>
    <t>19:08:22</t>
  </si>
  <si>
    <t>05:22:11</t>
  </si>
  <si>
    <t>16:53:43</t>
  </si>
  <si>
    <t>12:50:33</t>
  </si>
  <si>
    <t>03:59:24</t>
  </si>
  <si>
    <t>12:35:52</t>
  </si>
  <si>
    <t>01:46:46</t>
  </si>
  <si>
    <t>04:19:56</t>
  </si>
  <si>
    <t>21:33:32</t>
  </si>
  <si>
    <t>00:56:47</t>
  </si>
  <si>
    <t>21:35:58</t>
  </si>
  <si>
    <t>19:41:14</t>
  </si>
  <si>
    <t>23:05:26</t>
  </si>
  <si>
    <t>08:36:24</t>
  </si>
  <si>
    <t>11:56:23</t>
  </si>
  <si>
    <t>15:42:00</t>
  </si>
  <si>
    <t>21:34:03</t>
  </si>
  <si>
    <t>11:05:37</t>
  </si>
  <si>
    <t>11:53:02</t>
  </si>
  <si>
    <t>07:26:52</t>
  </si>
  <si>
    <t>Alexandria</t>
  </si>
  <si>
    <t>Jacket</t>
  </si>
  <si>
    <t>Pants</t>
  </si>
  <si>
    <t>Sweatshirt</t>
  </si>
  <si>
    <t>Suit</t>
  </si>
  <si>
    <t>Shorts</t>
  </si>
  <si>
    <t>T-Shirt</t>
  </si>
  <si>
    <t>Sneakers</t>
  </si>
  <si>
    <t>Classic Shoes</t>
  </si>
  <si>
    <t>Accessories</t>
  </si>
  <si>
    <t>Shirt</t>
  </si>
  <si>
    <t>Winter Wear</t>
  </si>
  <si>
    <t>Casual Wear</t>
  </si>
  <si>
    <t>Sportswear</t>
  </si>
  <si>
    <t>Formal Wear</t>
  </si>
  <si>
    <t>Summer Wear</t>
  </si>
  <si>
    <t>Fashion Accessories</t>
  </si>
  <si>
    <t>E-Wallet</t>
  </si>
  <si>
    <t>Cash</t>
  </si>
  <si>
    <t>Visa</t>
  </si>
  <si>
    <t>Men</t>
  </si>
  <si>
    <t>Women</t>
  </si>
  <si>
    <t>Kids</t>
  </si>
  <si>
    <t>INV-101000</t>
  </si>
  <si>
    <t>INV-101001</t>
  </si>
  <si>
    <t>INV-101002</t>
  </si>
  <si>
    <t>INV-101003</t>
  </si>
  <si>
    <t>INV-101004</t>
  </si>
  <si>
    <t>Male</t>
  </si>
  <si>
    <t>Female</t>
  </si>
  <si>
    <t>Mansoura</t>
  </si>
  <si>
    <t>Hurghada</t>
  </si>
  <si>
    <t>Tanta</t>
  </si>
  <si>
    <t>Port Said</t>
  </si>
  <si>
    <t>Cairo</t>
  </si>
  <si>
    <t>Luxor</t>
  </si>
  <si>
    <t>Asyut</t>
  </si>
  <si>
    <t>Sharm El-Sheikh</t>
  </si>
  <si>
    <t>Giza</t>
  </si>
  <si>
    <t>Total Sales</t>
  </si>
  <si>
    <t>Discount</t>
  </si>
  <si>
    <t>Total Sales After Discount</t>
  </si>
  <si>
    <t>Linda Morrison</t>
  </si>
  <si>
    <t>Gregory Cummings</t>
  </si>
  <si>
    <t>Julie Williams</t>
  </si>
  <si>
    <t>Anita Wallace</t>
  </si>
  <si>
    <t>Monica Wilson</t>
  </si>
  <si>
    <t>Johnny Gill</t>
  </si>
  <si>
    <t>Debra Zuniga</t>
  </si>
  <si>
    <t>Christopher Burch</t>
  </si>
  <si>
    <t>Michael Sims</t>
  </si>
  <si>
    <t>Dylan Saunders</t>
  </si>
  <si>
    <t>Krystal Smith</t>
  </si>
  <si>
    <t>Sherri Tran</t>
  </si>
  <si>
    <t>Megan Martinez</t>
  </si>
  <si>
    <t>Brenda English</t>
  </si>
  <si>
    <t>Andrea Scott</t>
  </si>
  <si>
    <t>Michelle Wallace</t>
  </si>
  <si>
    <t>Brooke Becker</t>
  </si>
  <si>
    <t>Rachel Hurley</t>
  </si>
  <si>
    <t>Craig Young</t>
  </si>
  <si>
    <t>David Graham</t>
  </si>
  <si>
    <t>Melissa Esparza</t>
  </si>
  <si>
    <t>Scott Wilson</t>
  </si>
  <si>
    <t>Sheri Ross</t>
  </si>
  <si>
    <t>Amanda Walters</t>
  </si>
  <si>
    <t>Stephanie Lam</t>
  </si>
  <si>
    <t>Angela Love</t>
  </si>
  <si>
    <t>Barbara Smith</t>
  </si>
  <si>
    <t>Alyssa Valentine</t>
  </si>
  <si>
    <t>Mary Stewart</t>
  </si>
  <si>
    <t>Paul Clark</t>
  </si>
  <si>
    <t>Daniel Black</t>
  </si>
  <si>
    <t>Patrick Carlson</t>
  </si>
  <si>
    <t>Carlos Richards</t>
  </si>
  <si>
    <t>George Delgado</t>
  </si>
  <si>
    <t>Carol Fowler</t>
  </si>
  <si>
    <t>Angela Sandoval</t>
  </si>
  <si>
    <t>Anna Sanchez</t>
  </si>
  <si>
    <t>Daniel Cummings</t>
  </si>
  <si>
    <t>Barbara Cisneros</t>
  </si>
  <si>
    <t>Robert Hardy</t>
  </si>
  <si>
    <t>Alison Singleton</t>
  </si>
  <si>
    <t>John Brown</t>
  </si>
  <si>
    <t>Brian Harris</t>
  </si>
  <si>
    <t>Charles Johnson</t>
  </si>
  <si>
    <t>Christopher Smith</t>
  </si>
  <si>
    <t>George Collins</t>
  </si>
  <si>
    <t>Robert Hayes</t>
  </si>
  <si>
    <t>Christopher Roberts</t>
  </si>
  <si>
    <t>Amy Navarro</t>
  </si>
  <si>
    <t>Carlos Vega</t>
  </si>
  <si>
    <t>Michael Myers</t>
  </si>
  <si>
    <t>Gina Randolph</t>
  </si>
  <si>
    <t>Andrew Martinez</t>
  </si>
  <si>
    <t>Dakota Wood</t>
  </si>
  <si>
    <t>Kenneth Perkins</t>
  </si>
  <si>
    <t>Elizabeth Howard</t>
  </si>
  <si>
    <t>Thomas Parker</t>
  </si>
  <si>
    <t>John Beard</t>
  </si>
  <si>
    <t>Jay Dunn</t>
  </si>
  <si>
    <t>Terry Williams</t>
  </si>
  <si>
    <t>Sabrina Turner</t>
  </si>
  <si>
    <t>Todd Ellison</t>
  </si>
  <si>
    <t>Amy Caldwell</t>
  </si>
  <si>
    <t>Joseph Allen</t>
  </si>
  <si>
    <t>Christopher Silva</t>
  </si>
  <si>
    <t>Anthony Schneider</t>
  </si>
  <si>
    <t>Charles Walker</t>
  </si>
  <si>
    <t>Martha Mitchell</t>
  </si>
  <si>
    <t>William Thomas</t>
  </si>
  <si>
    <t>Mrs. Victoria</t>
  </si>
  <si>
    <t>Nicholas Simon</t>
  </si>
  <si>
    <t>Aaron King</t>
  </si>
  <si>
    <t>Jamie Cox</t>
  </si>
  <si>
    <t>Gabriella Oconnell</t>
  </si>
  <si>
    <t>Hector Murphy</t>
  </si>
  <si>
    <t>Devin Tanner</t>
  </si>
  <si>
    <t>Robert Williams</t>
  </si>
  <si>
    <t>Amanda Donovan</t>
  </si>
  <si>
    <t>Carlos Booker</t>
  </si>
  <si>
    <t>Jacqueline Perry</t>
  </si>
  <si>
    <t>Lisa Lopez</t>
  </si>
  <si>
    <t>Courtney White</t>
  </si>
  <si>
    <t>Patricia Carroll</t>
  </si>
  <si>
    <t>Lawrence Bridges</t>
  </si>
  <si>
    <t>Tina Barker</t>
  </si>
  <si>
    <t>Albert Elliott</t>
  </si>
  <si>
    <t>Gregory Owens</t>
  </si>
  <si>
    <t>Andrew Williams</t>
  </si>
  <si>
    <t>Peter Benson</t>
  </si>
  <si>
    <t>Monica Vega</t>
  </si>
  <si>
    <t>David Moore</t>
  </si>
  <si>
    <t>Timothy Perez</t>
  </si>
  <si>
    <t>Robert Velez</t>
  </si>
  <si>
    <t>Pedro Thomas</t>
  </si>
  <si>
    <t>Jacqueline Lee</t>
  </si>
  <si>
    <t>Julie Spence</t>
  </si>
  <si>
    <t>Danielle Contreras</t>
  </si>
  <si>
    <t>Andrea Everett</t>
  </si>
  <si>
    <t>Steven Hobbs</t>
  </si>
  <si>
    <t>Robert Brown</t>
  </si>
  <si>
    <t>Henry Gutierrez</t>
  </si>
  <si>
    <t>Tanya Mendoza</t>
  </si>
  <si>
    <t>Kathy Harrison</t>
  </si>
  <si>
    <t>James Turner</t>
  </si>
  <si>
    <t>Elizabeth Dixon</t>
  </si>
  <si>
    <t>Evan Cook</t>
  </si>
  <si>
    <t>Charles Fowler</t>
  </si>
  <si>
    <t>Thomas Collins</t>
  </si>
  <si>
    <t>Kimberly Carter</t>
  </si>
  <si>
    <t>Timothy Duncan</t>
  </si>
  <si>
    <t>Amy Smith</t>
  </si>
  <si>
    <t>Lauren Potts</t>
  </si>
  <si>
    <t>Matthew Schneider</t>
  </si>
  <si>
    <t>Karen Patterson</t>
  </si>
  <si>
    <t>Rebecca Lane</t>
  </si>
  <si>
    <t>Rodney Garcia</t>
  </si>
  <si>
    <t>Lisa Simon</t>
  </si>
  <si>
    <t>Joseph Huber</t>
  </si>
  <si>
    <t>Molly Kennedy</t>
  </si>
  <si>
    <t>Lisa Gutierrez</t>
  </si>
  <si>
    <t>Amber Salas</t>
  </si>
  <si>
    <t>Brad Forbes</t>
  </si>
  <si>
    <t>Taylor Miller</t>
  </si>
  <si>
    <t>John Johnston</t>
  </si>
  <si>
    <t>Jessica Bennett</t>
  </si>
  <si>
    <t>Kyle Cardenas</t>
  </si>
  <si>
    <t>Gina Foley</t>
  </si>
  <si>
    <t>Christine Smith</t>
  </si>
  <si>
    <t>Brandon Kennedy</t>
  </si>
  <si>
    <t>James Huber</t>
  </si>
  <si>
    <t>Sarah Beck</t>
  </si>
  <si>
    <t>Robert Lambert</t>
  </si>
  <si>
    <t>Stacy Jackson</t>
  </si>
  <si>
    <t>Charles Howell</t>
  </si>
  <si>
    <t>Christina Taylor</t>
  </si>
  <si>
    <t>William Carter</t>
  </si>
  <si>
    <t>Heather Stevens</t>
  </si>
  <si>
    <t>Jack Johnson</t>
  </si>
  <si>
    <t>Amber Vincent</t>
  </si>
  <si>
    <t>Micheal Simmons</t>
  </si>
  <si>
    <t>William Page</t>
  </si>
  <si>
    <t>Cody Bell</t>
  </si>
  <si>
    <t>Amy Thomas</t>
  </si>
  <si>
    <t>Mary Chandler</t>
  </si>
  <si>
    <t>Monica Jones</t>
  </si>
  <si>
    <t>David Thompson</t>
  </si>
  <si>
    <t>Sheila Thomas</t>
  </si>
  <si>
    <t>Donna Mccoy</t>
  </si>
  <si>
    <t>Daniel Nash</t>
  </si>
  <si>
    <t>Kevin Kim</t>
  </si>
  <si>
    <t>Anne Orozco</t>
  </si>
  <si>
    <t>Katrina Valdez</t>
  </si>
  <si>
    <t>Jacob Booker</t>
  </si>
  <si>
    <t>Matthew Mason</t>
  </si>
  <si>
    <t>Paul Smith</t>
  </si>
  <si>
    <t>Michael Parker</t>
  </si>
  <si>
    <t>Joseph Rivera</t>
  </si>
  <si>
    <t>Kenneth Zuniga</t>
  </si>
  <si>
    <t>Chad Hill</t>
  </si>
  <si>
    <t>Leslie Thompson</t>
  </si>
  <si>
    <t>Michael Franklin</t>
  </si>
  <si>
    <t>Michael Williams</t>
  </si>
  <si>
    <t>Billy White</t>
  </si>
  <si>
    <t>Sherri Vega</t>
  </si>
  <si>
    <t>Elaine Oneill</t>
  </si>
  <si>
    <t>Gerald Warren</t>
  </si>
  <si>
    <t>Jacqueline Conley</t>
  </si>
  <si>
    <t>James Thomas</t>
  </si>
  <si>
    <t>Desiree Hodges</t>
  </si>
  <si>
    <t>Steven Garcia</t>
  </si>
  <si>
    <t>Latasha Marsh</t>
  </si>
  <si>
    <t>Sherry Wood</t>
  </si>
  <si>
    <t>Tyler Harris</t>
  </si>
  <si>
    <t>Joshua Smith</t>
  </si>
  <si>
    <t>Richard Mcgrath</t>
  </si>
  <si>
    <t>Paul Guzman</t>
  </si>
  <si>
    <t>Timothy Mitchell</t>
  </si>
  <si>
    <t>Kara Kane</t>
  </si>
  <si>
    <t>Stephen Brown</t>
  </si>
  <si>
    <t>Jeffrey Weeks</t>
  </si>
  <si>
    <t>Charles Mccormick</t>
  </si>
  <si>
    <t>Douglas Walker</t>
  </si>
  <si>
    <t>Haley Thompson</t>
  </si>
  <si>
    <t>Jennifer Long</t>
  </si>
  <si>
    <t>Gina Taylor</t>
  </si>
  <si>
    <t>Katherine Ramos</t>
  </si>
  <si>
    <t>Shawn Walsh</t>
  </si>
  <si>
    <t>Jamie Lee</t>
  </si>
  <si>
    <t>Shelly Valdez</t>
  </si>
  <si>
    <t>Jaime Thornton</t>
  </si>
  <si>
    <t>Tracy Holland</t>
  </si>
  <si>
    <t>Carol Wells</t>
  </si>
  <si>
    <t>Jennifer Williams</t>
  </si>
  <si>
    <t>April Reid</t>
  </si>
  <si>
    <t>Billy Flores</t>
  </si>
  <si>
    <t>Beth Sanchez</t>
  </si>
  <si>
    <t>Robin Townsend</t>
  </si>
  <si>
    <t>Ms. Kelly</t>
  </si>
  <si>
    <t>Anna Douglas</t>
  </si>
  <si>
    <t>Bianca Smith</t>
  </si>
  <si>
    <t>Madison Reese</t>
  </si>
  <si>
    <t>Vincent Wallace</t>
  </si>
  <si>
    <t>Michael Smith</t>
  </si>
  <si>
    <t>Dominique Davis</t>
  </si>
  <si>
    <t>Felicia Smith</t>
  </si>
  <si>
    <t>Charles Keller</t>
  </si>
  <si>
    <t>Shawn Thompson</t>
  </si>
  <si>
    <t>Dylan Cooper</t>
  </si>
  <si>
    <t>Terry Jordan</t>
  </si>
  <si>
    <t>Alison Kennedy</t>
  </si>
  <si>
    <t>Teresa Patterson</t>
  </si>
  <si>
    <t>Cassidy Stone</t>
  </si>
  <si>
    <t>Gary Hernandez</t>
  </si>
  <si>
    <t>Victor Wong</t>
  </si>
  <si>
    <t>Tina Thomas</t>
  </si>
  <si>
    <t>Jamie Schmidt</t>
  </si>
  <si>
    <t>Dustin Moore</t>
  </si>
  <si>
    <t>Angela Ibarra</t>
  </si>
  <si>
    <t>Jessica Hall</t>
  </si>
  <si>
    <t>Alexander Moore</t>
  </si>
  <si>
    <t>Amy Davis</t>
  </si>
  <si>
    <t>Edward Hodges</t>
  </si>
  <si>
    <t>Michael Edwards</t>
  </si>
  <si>
    <t>Michelle Bradford</t>
  </si>
  <si>
    <t>John Hinton</t>
  </si>
  <si>
    <t>Joseph Horton</t>
  </si>
  <si>
    <t>Kristin Fitzgerald</t>
  </si>
  <si>
    <t>Ronald Perry</t>
  </si>
  <si>
    <t>Nancy Lopez</t>
  </si>
  <si>
    <t>Nathan Hurst</t>
  </si>
  <si>
    <t>Susan Bowen</t>
  </si>
  <si>
    <t>Jordan Simpson</t>
  </si>
  <si>
    <t>Chad Wood</t>
  </si>
  <si>
    <t>Jacqueline Gutierrez</t>
  </si>
  <si>
    <t>Amanda Ward</t>
  </si>
  <si>
    <t>Frank Jackson</t>
  </si>
  <si>
    <t>Emily Lozano</t>
  </si>
  <si>
    <t>Kristin Lane</t>
  </si>
  <si>
    <t>Crystal Alexander</t>
  </si>
  <si>
    <t>Ashlee Alvarado</t>
  </si>
  <si>
    <t>Mr. Kevin</t>
  </si>
  <si>
    <t>Brian Hall</t>
  </si>
  <si>
    <t>Allison Hahn</t>
  </si>
  <si>
    <t>Melissa King</t>
  </si>
  <si>
    <t>Mary Murphy</t>
  </si>
  <si>
    <t>Wendy Jackson</t>
  </si>
  <si>
    <t>Lisa Winters</t>
  </si>
  <si>
    <t>David Smith</t>
  </si>
  <si>
    <t>William Mcgee</t>
  </si>
  <si>
    <t>Michelle Rose</t>
  </si>
  <si>
    <t>Thomas Massey</t>
  </si>
  <si>
    <t>Nicole Thompson</t>
  </si>
  <si>
    <t>Micheal Wood</t>
  </si>
  <si>
    <t>Robin Hernandez</t>
  </si>
  <si>
    <t>Andrea Cameron</t>
  </si>
  <si>
    <t>Carrie Swanson</t>
  </si>
  <si>
    <t>Tammy Hall</t>
  </si>
  <si>
    <t>Kevin Montgomery</t>
  </si>
  <si>
    <t>Chelsea Lewis</t>
  </si>
  <si>
    <t>Eric Jackson</t>
  </si>
  <si>
    <t>Joshua Summers</t>
  </si>
  <si>
    <t>Danielle Collier</t>
  </si>
  <si>
    <t>Michael Chandler</t>
  </si>
  <si>
    <t>Brittney Duncan</t>
  </si>
  <si>
    <t>Michael White</t>
  </si>
  <si>
    <t>Kenneth Sanchez</t>
  </si>
  <si>
    <t>Ian Marshall</t>
  </si>
  <si>
    <t>Kyle Hall</t>
  </si>
  <si>
    <t>Tracy Foley</t>
  </si>
  <si>
    <t>Albert Cuevas</t>
  </si>
  <si>
    <t>James Liu</t>
  </si>
  <si>
    <t>Raymond Martin</t>
  </si>
  <si>
    <t>Melissa Rodgers</t>
  </si>
  <si>
    <t>Dawn Hall</t>
  </si>
  <si>
    <t>Michael Duran</t>
  </si>
  <si>
    <t>Roy Butler</t>
  </si>
  <si>
    <t>Kristen Hernandez</t>
  </si>
  <si>
    <t>Lisa Williams</t>
  </si>
  <si>
    <t>Jamie Barker</t>
  </si>
  <si>
    <t>Jesse Edwards</t>
  </si>
  <si>
    <t>Kerri Warren</t>
  </si>
  <si>
    <t>Jennifer Bond</t>
  </si>
  <si>
    <t>Jeremiah Burton</t>
  </si>
  <si>
    <t>April Pratt</t>
  </si>
  <si>
    <t>Dr. Richard</t>
  </si>
  <si>
    <t>Cynthia Nguyen</t>
  </si>
  <si>
    <t>Kathy Ross</t>
  </si>
  <si>
    <t>Alison Tran</t>
  </si>
  <si>
    <t>Marcus Wilkerson</t>
  </si>
  <si>
    <t>Misty Wu</t>
  </si>
  <si>
    <t>Jennifer Villegas</t>
  </si>
  <si>
    <t>William Wolfe</t>
  </si>
  <si>
    <t>Joseph Thompson</t>
  </si>
  <si>
    <t>Nicole Gentry</t>
  </si>
  <si>
    <t>Beth Clark</t>
  </si>
  <si>
    <t>James Hogan</t>
  </si>
  <si>
    <t>Elizabeth Murillo</t>
  </si>
  <si>
    <t>Brandon Hartman</t>
  </si>
  <si>
    <t>Eric Rose</t>
  </si>
  <si>
    <t>James Holmes</t>
  </si>
  <si>
    <t>Dawn Ross</t>
  </si>
  <si>
    <t>Timothy Nelson</t>
  </si>
  <si>
    <t>Anthony Molina</t>
  </si>
  <si>
    <t>Alan Ruiz</t>
  </si>
  <si>
    <t>Clarence Simon</t>
  </si>
  <si>
    <t>Jerry Hancock</t>
  </si>
  <si>
    <t>Robin Flores</t>
  </si>
  <si>
    <t>Donna Wilson</t>
  </si>
  <si>
    <t>Michael Moore</t>
  </si>
  <si>
    <t>Mark Rodriguez</t>
  </si>
  <si>
    <t>Karen Copeland</t>
  </si>
  <si>
    <t>Gregory Burgess</t>
  </si>
  <si>
    <t>Angela Summers</t>
  </si>
  <si>
    <t>Jimmy Nelson</t>
  </si>
  <si>
    <t>Dawn Romero</t>
  </si>
  <si>
    <t>Tyler Solis</t>
  </si>
  <si>
    <t>Michael Johnson</t>
  </si>
  <si>
    <t>Matthew Huynh</t>
  </si>
  <si>
    <t>Robert Anderson</t>
  </si>
  <si>
    <t>Maureen Andrews</t>
  </si>
  <si>
    <t>Timothy Kennedy</t>
  </si>
  <si>
    <t>Tara Hughes</t>
  </si>
  <si>
    <t>Mark Pope</t>
  </si>
  <si>
    <t>Blake Rodriguez</t>
  </si>
  <si>
    <t>Jennifer Randolph</t>
  </si>
  <si>
    <t>Sarah Montgomery</t>
  </si>
  <si>
    <t>Ashley Weber</t>
  </si>
  <si>
    <t>Andrew Spence</t>
  </si>
  <si>
    <t>Isabel Gomez</t>
  </si>
  <si>
    <t>Jamie Wagner</t>
  </si>
  <si>
    <t>Chelsea Hicks</t>
  </si>
  <si>
    <t>David Tucker</t>
  </si>
  <si>
    <t>Tyler Bernard</t>
  </si>
  <si>
    <t>Erik Myers</t>
  </si>
  <si>
    <t>Michelle Davis</t>
  </si>
  <si>
    <t>John Mitchell</t>
  </si>
  <si>
    <t>Michelle Lewis</t>
  </si>
  <si>
    <t>Richard Young</t>
  </si>
  <si>
    <t>Anne Cardenas</t>
  </si>
  <si>
    <t>Joshua Valentine</t>
  </si>
  <si>
    <t>Trevor Brown</t>
  </si>
  <si>
    <t>Maria Mcclain</t>
  </si>
  <si>
    <t>Theodore Shaffer</t>
  </si>
  <si>
    <t>James Hernandez</t>
  </si>
  <si>
    <t>Ryan Perez</t>
  </si>
  <si>
    <t>Troy Leach</t>
  </si>
  <si>
    <t>Kimberly Snow</t>
  </si>
  <si>
    <t>Stephanie Fernandez</t>
  </si>
  <si>
    <t>Robin Kelly</t>
  </si>
  <si>
    <t>John Wiley</t>
  </si>
  <si>
    <t>Jesse Carlson</t>
  </si>
  <si>
    <t>Larry Fields</t>
  </si>
  <si>
    <t>Jessica Perez</t>
  </si>
  <si>
    <t>Deborah Lopez</t>
  </si>
  <si>
    <t>Maureen Woods</t>
  </si>
  <si>
    <t>Donald Brown</t>
  </si>
  <si>
    <t>Evan Reeves</t>
  </si>
  <si>
    <t>Jennifer Stephens</t>
  </si>
  <si>
    <t>Damon Welch</t>
  </si>
  <si>
    <t>Danielle Long</t>
  </si>
  <si>
    <t>Mariah Shepard</t>
  </si>
  <si>
    <t>Rachel Garcia</t>
  </si>
  <si>
    <t>Jaime Phillips</t>
  </si>
  <si>
    <t>Dr. Theresa</t>
  </si>
  <si>
    <t>Robert Lopez</t>
  </si>
  <si>
    <t>Dawn Davis</t>
  </si>
  <si>
    <t>Michael Crawford</t>
  </si>
  <si>
    <t>Abigail Shepherd</t>
  </si>
  <si>
    <t>Philip Macias</t>
  </si>
  <si>
    <t>Terri Fields</t>
  </si>
  <si>
    <t>Amy Scott</t>
  </si>
  <si>
    <t>Carrie Mitchell</t>
  </si>
  <si>
    <t>Rachel Chavez</t>
  </si>
  <si>
    <t>Janice Hall</t>
  </si>
  <si>
    <t>Jessica Andrews</t>
  </si>
  <si>
    <t>Lisa Hernandez</t>
  </si>
  <si>
    <t>Vanessa Lawrence</t>
  </si>
  <si>
    <t>Daniel Cox</t>
  </si>
  <si>
    <t>Ashley Gonzalez</t>
  </si>
  <si>
    <t>Tonya Cole</t>
  </si>
  <si>
    <t>Jaime Barry</t>
  </si>
  <si>
    <t>Eric Cole</t>
  </si>
  <si>
    <t>Jessica Roberts</t>
  </si>
  <si>
    <t>Anna Gibson</t>
  </si>
  <si>
    <t>Kathleen Brock</t>
  </si>
  <si>
    <t>Adam Bullock</t>
  </si>
  <si>
    <t>Jennifer Sexton</t>
  </si>
  <si>
    <t>Kimberly Campbell</t>
  </si>
  <si>
    <t>Francisco Walker</t>
  </si>
  <si>
    <t>Nicole Noble</t>
  </si>
  <si>
    <t>Brandon Mason</t>
  </si>
  <si>
    <t>Stephanie Shaw</t>
  </si>
  <si>
    <t>Michael Strong</t>
  </si>
  <si>
    <t>Mary Wilson</t>
  </si>
  <si>
    <t>Barbara Love</t>
  </si>
  <si>
    <t>Kristin Berry</t>
  </si>
  <si>
    <t>Randy Rodriguez</t>
  </si>
  <si>
    <t>Jeffery Patterson</t>
  </si>
  <si>
    <t>Joseph Anderson</t>
  </si>
  <si>
    <t>Jonathan Martinez</t>
  </si>
  <si>
    <t>Adriana Henderson</t>
  </si>
  <si>
    <t>Alex Miller</t>
  </si>
  <si>
    <t>Ann Green</t>
  </si>
  <si>
    <t>Briana Morales</t>
  </si>
  <si>
    <t>Bailey Miller</t>
  </si>
  <si>
    <t>Jodi Butler</t>
  </si>
  <si>
    <t>Anne Frederick</t>
  </si>
  <si>
    <t>Joseph Moore</t>
  </si>
  <si>
    <t>Ashley Parsons</t>
  </si>
  <si>
    <t>Brian Lopez</t>
  </si>
  <si>
    <t>Rebecca Wilson</t>
  </si>
  <si>
    <t>Natalie Collins</t>
  </si>
  <si>
    <t>Joan Nguyen</t>
  </si>
  <si>
    <t>Hannah Palmer</t>
  </si>
  <si>
    <t>Frederick Gomez</t>
  </si>
  <si>
    <t>Katrina Cherry</t>
  </si>
  <si>
    <t>Charles Ward</t>
  </si>
  <si>
    <t>Kaitlyn Banks</t>
  </si>
  <si>
    <t>Jesse Haley</t>
  </si>
  <si>
    <t>Olivia Hernandez</t>
  </si>
  <si>
    <t>Alexander Wells</t>
  </si>
  <si>
    <t>Ashley Clark</t>
  </si>
  <si>
    <t>Andrew Jones</t>
  </si>
  <si>
    <t>Duane Gonzales</t>
  </si>
  <si>
    <t>Andrea Harrison</t>
  </si>
  <si>
    <t>Todd Daniel</t>
  </si>
  <si>
    <t>Judith Mercado</t>
  </si>
  <si>
    <t>Sandy Young</t>
  </si>
  <si>
    <t>Richard Hill</t>
  </si>
  <si>
    <t>Gabrielle Gross</t>
  </si>
  <si>
    <t>Grace Collins</t>
  </si>
  <si>
    <t>Brian Smith</t>
  </si>
  <si>
    <t>John Marshall</t>
  </si>
  <si>
    <t>Jason Patel</t>
  </si>
  <si>
    <t>Hannah Vasquez</t>
  </si>
  <si>
    <t>William Andersen</t>
  </si>
  <si>
    <t>Richard Mason</t>
  </si>
  <si>
    <t>Christian Carlson</t>
  </si>
  <si>
    <t>Michele Davies</t>
  </si>
  <si>
    <t>Suzanne Thornton</t>
  </si>
  <si>
    <t>Michael Ingram</t>
  </si>
  <si>
    <t>Kevin Weber</t>
  </si>
  <si>
    <t>Donald Morgan</t>
  </si>
  <si>
    <t>Joe Flores</t>
  </si>
  <si>
    <t>Keith Jones</t>
  </si>
  <si>
    <t>Lisa Ramirez</t>
  </si>
  <si>
    <t>Dr. Raymond</t>
  </si>
  <si>
    <t>Dawn Thomas</t>
  </si>
  <si>
    <t>Alison Miller</t>
  </si>
  <si>
    <t>Angie Lee</t>
  </si>
  <si>
    <t>Karen Benjamin</t>
  </si>
  <si>
    <t>Mary Jones</t>
  </si>
  <si>
    <t>Daniel Macias</t>
  </si>
  <si>
    <t>Timothy Faulkner</t>
  </si>
  <si>
    <t>Margaret Banks</t>
  </si>
  <si>
    <t>David Patterson</t>
  </si>
  <si>
    <t>Annette Moore</t>
  </si>
  <si>
    <t>John Ellis</t>
  </si>
  <si>
    <t>Andrew Mckinney</t>
  </si>
  <si>
    <t>Courtney Williams</t>
  </si>
  <si>
    <t>James Soto</t>
  </si>
  <si>
    <t>Robert Hill</t>
  </si>
  <si>
    <t>Tyler Cole</t>
  </si>
  <si>
    <t>Melinda Cohen</t>
  </si>
  <si>
    <t>Bethany Cobb</t>
  </si>
  <si>
    <t>Craig Maddox</t>
  </si>
  <si>
    <t>Stephen Orozco</t>
  </si>
  <si>
    <t>Carol Nguyen</t>
  </si>
  <si>
    <t>Brian Kelly</t>
  </si>
  <si>
    <t>Megan Smith</t>
  </si>
  <si>
    <t>Daniel Johnston</t>
  </si>
  <si>
    <t>Raymond Macias</t>
  </si>
  <si>
    <t>Richard Kramer</t>
  </si>
  <si>
    <t>James Scott</t>
  </si>
  <si>
    <t>Casey Fox</t>
  </si>
  <si>
    <t>Angelica Ochoa</t>
  </si>
  <si>
    <t>Gregory Hudson</t>
  </si>
  <si>
    <t>Kathleen Cohen</t>
  </si>
  <si>
    <t>Victor Schneider</t>
  </si>
  <si>
    <t>John Cunningham</t>
  </si>
  <si>
    <t>Corey Johnston</t>
  </si>
  <si>
    <t>Bianca Garcia</t>
  </si>
  <si>
    <t>Carlos Bowen</t>
  </si>
  <si>
    <t>Stacey Chapman</t>
  </si>
  <si>
    <t>David Obrien</t>
  </si>
  <si>
    <t>Maria Arnold</t>
  </si>
  <si>
    <t>Julie Thomas</t>
  </si>
  <si>
    <t>Christopher Holmes</t>
  </si>
  <si>
    <t>Amy Newman</t>
  </si>
  <si>
    <t>Alison Hampton</t>
  </si>
  <si>
    <t>Melissa Hubbard</t>
  </si>
  <si>
    <t>Sandra Williamson</t>
  </si>
  <si>
    <t>Mary Stone</t>
  </si>
  <si>
    <t>Christina Dunn</t>
  </si>
  <si>
    <t>Brad Nash</t>
  </si>
  <si>
    <t>Kyle Diaz</t>
  </si>
  <si>
    <t>Kim Jones</t>
  </si>
  <si>
    <t>Christina Torres</t>
  </si>
  <si>
    <t>Jason Vang</t>
  </si>
  <si>
    <t>Richard James</t>
  </si>
  <si>
    <t>Lawrence Huff</t>
  </si>
  <si>
    <t>Shane Welch</t>
  </si>
  <si>
    <t>Alyssa Ramirez</t>
  </si>
  <si>
    <t>Marilyn Herrera</t>
  </si>
  <si>
    <t>Russell Richards</t>
  </si>
  <si>
    <t>Ronald Moore</t>
  </si>
  <si>
    <t>Jessica King</t>
  </si>
  <si>
    <t>Kimberly Scott</t>
  </si>
  <si>
    <t>Cody Jones</t>
  </si>
  <si>
    <t>Aaron Beard</t>
  </si>
  <si>
    <t>Kelly Williams</t>
  </si>
  <si>
    <t>Lori Glover</t>
  </si>
  <si>
    <t>Johnathan Simpson</t>
  </si>
  <si>
    <t>Kenneth Brown</t>
  </si>
  <si>
    <t>Justin Thompson</t>
  </si>
  <si>
    <t>Whitney Snyder</t>
  </si>
  <si>
    <t>John Atkinson</t>
  </si>
  <si>
    <t>Erin Hall</t>
  </si>
  <si>
    <t>Kim Scott</t>
  </si>
  <si>
    <t>Drew Lewis</t>
  </si>
  <si>
    <t>Linda Stephens</t>
  </si>
  <si>
    <t>Shaun Johnson</t>
  </si>
  <si>
    <t>Sharon Brown</t>
  </si>
  <si>
    <t>Mary Daniels</t>
  </si>
  <si>
    <t>Kayla Payne</t>
  </si>
  <si>
    <t>Eddie Dougherty</t>
  </si>
  <si>
    <t>Shelly Davis</t>
  </si>
  <si>
    <t>Jacqueline Holt</t>
  </si>
  <si>
    <t>Carlos Williams</t>
  </si>
  <si>
    <t>Angel Alexander</t>
  </si>
  <si>
    <t>Donald Harrison</t>
  </si>
  <si>
    <t>Mrs. Alexis</t>
  </si>
  <si>
    <t>John Ramos</t>
  </si>
  <si>
    <t>Sharon Reeves</t>
  </si>
  <si>
    <t>Dennis Brown</t>
  </si>
  <si>
    <t>Eric Mason</t>
  </si>
  <si>
    <t>Amy Taylor</t>
  </si>
  <si>
    <t>Kelsey Foster</t>
  </si>
  <si>
    <t>Gregory Henson</t>
  </si>
  <si>
    <t>Bobby Taylor</t>
  </si>
  <si>
    <t>Samantha Lutz</t>
  </si>
  <si>
    <t>Dr. Ricardo</t>
  </si>
  <si>
    <t>Clinton Jones</t>
  </si>
  <si>
    <t>Nathan Lawson</t>
  </si>
  <si>
    <t>Carl Oneal</t>
  </si>
  <si>
    <t>Katherine Hill</t>
  </si>
  <si>
    <t>Cassie Reyes</t>
  </si>
  <si>
    <t>Evelyn Bray</t>
  </si>
  <si>
    <t>Robert Hall</t>
  </si>
  <si>
    <t>Angela Newton</t>
  </si>
  <si>
    <t>Kimberly Brown</t>
  </si>
  <si>
    <t>Elaine Brown</t>
  </si>
  <si>
    <t>Patricia Pollard</t>
  </si>
  <si>
    <t>John Norman</t>
  </si>
  <si>
    <t>Thomas Johnson</t>
  </si>
  <si>
    <t>Lauren Torres</t>
  </si>
  <si>
    <t>Andrea Cooper</t>
  </si>
  <si>
    <t>Tara Hayes</t>
  </si>
  <si>
    <t>Joshua Price</t>
  </si>
  <si>
    <t>Rhonda Kennedy</t>
  </si>
  <si>
    <t>David Davis</t>
  </si>
  <si>
    <t>Laura Butler</t>
  </si>
  <si>
    <t>Brandi Elliott</t>
  </si>
  <si>
    <t>Amanda Marsh</t>
  </si>
  <si>
    <t>Caroline James</t>
  </si>
  <si>
    <t>Donald Newton</t>
  </si>
  <si>
    <t>Daniel Murray</t>
  </si>
  <si>
    <t>Kelly Delgado</t>
  </si>
  <si>
    <t>Bonnie Odom</t>
  </si>
  <si>
    <t>Jacob Atkinson</t>
  </si>
  <si>
    <t>Andrew Chapman</t>
  </si>
  <si>
    <t>Rodney Alvarez</t>
  </si>
  <si>
    <t>Mrs. Sandra</t>
  </si>
  <si>
    <t>Douglas Roberts</t>
  </si>
  <si>
    <t>Richard Johnson</t>
  </si>
  <si>
    <t>Kathleen Johnson</t>
  </si>
  <si>
    <t>Stefanie Williams</t>
  </si>
  <si>
    <t>Derek Ford</t>
  </si>
  <si>
    <t>Cynthia Stephenson</t>
  </si>
  <si>
    <t>Tara Jackson</t>
  </si>
  <si>
    <t>Jason Johnson</t>
  </si>
  <si>
    <t>Kevin Pope</t>
  </si>
  <si>
    <t>Troy Estrada</t>
  </si>
  <si>
    <t>Ashley King</t>
  </si>
  <si>
    <t>Andrew Adams</t>
  </si>
  <si>
    <t>Jeffrey Johnson</t>
  </si>
  <si>
    <t>Jonathan Roberson</t>
  </si>
  <si>
    <t>Mrs. Sarah</t>
  </si>
  <si>
    <t>Phillip Baxter</t>
  </si>
  <si>
    <t>Andrew Johnson</t>
  </si>
  <si>
    <t>Heidi Davis</t>
  </si>
  <si>
    <t>George Johnson</t>
  </si>
  <si>
    <t>Claire Johnson</t>
  </si>
  <si>
    <t>Douglas Lindsey</t>
  </si>
  <si>
    <t>Tyler Allen</t>
  </si>
  <si>
    <t>Henry Hudson</t>
  </si>
  <si>
    <t>Kelly Patel</t>
  </si>
  <si>
    <t>Mallory Carrillo</t>
  </si>
  <si>
    <t>Marilyn Norman</t>
  </si>
  <si>
    <t>Ruth Butler</t>
  </si>
  <si>
    <t>Scott Perez</t>
  </si>
  <si>
    <t>Adam Hess</t>
  </si>
  <si>
    <t>Ashley Jones</t>
  </si>
  <si>
    <t>Jenna Perez</t>
  </si>
  <si>
    <t>Jeremy Kelly</t>
  </si>
  <si>
    <t>Manuel Bowman</t>
  </si>
  <si>
    <t>Steve Gordon</t>
  </si>
  <si>
    <t>Laura Richardson</t>
  </si>
  <si>
    <t>Brandon Estrada</t>
  </si>
  <si>
    <t>Justin Martinez</t>
  </si>
  <si>
    <t>Destiny Hernandez</t>
  </si>
  <si>
    <t>David West</t>
  </si>
  <si>
    <t>Brandi Reed</t>
  </si>
  <si>
    <t>Pamela Gonzalez</t>
  </si>
  <si>
    <t>Angel Johnston</t>
  </si>
  <si>
    <t>Thomas Gibson</t>
  </si>
  <si>
    <t>Casey Simmons</t>
  </si>
  <si>
    <t>Tabitha Sawyer</t>
  </si>
  <si>
    <t>Matthew Contreras</t>
  </si>
  <si>
    <t>Natalie Price</t>
  </si>
  <si>
    <t>Kevin Duncan</t>
  </si>
  <si>
    <t>Carl Davidson</t>
  </si>
  <si>
    <t>Christian Griffith</t>
  </si>
  <si>
    <t>Richard Wilson</t>
  </si>
  <si>
    <t>Erica Hall</t>
  </si>
  <si>
    <t>Mary French</t>
  </si>
  <si>
    <t>Jamie Washington</t>
  </si>
  <si>
    <t>James Short</t>
  </si>
  <si>
    <t>Kathryn Cooper</t>
  </si>
  <si>
    <t>Kelly Ross</t>
  </si>
  <si>
    <t>Johnny Baker</t>
  </si>
  <si>
    <t>Matthew Zimmerman</t>
  </si>
  <si>
    <t>Jennifer Petersen</t>
  </si>
  <si>
    <t>Tammy Jackson</t>
  </si>
  <si>
    <t>Jean Mccall</t>
  </si>
  <si>
    <t>Michael Wilson</t>
  </si>
  <si>
    <t>Sandra Holden</t>
  </si>
  <si>
    <t>Courtney James</t>
  </si>
  <si>
    <t>Michelle Gay</t>
  </si>
  <si>
    <t>Gina Lee</t>
  </si>
  <si>
    <t>Mark Wilson</t>
  </si>
  <si>
    <t>Tricia Randall</t>
  </si>
  <si>
    <t>Stephen Campbell</t>
  </si>
  <si>
    <t>Kevin Becker</t>
  </si>
  <si>
    <t>Courtney Johnston</t>
  </si>
  <si>
    <t>Carrie Frederick</t>
  </si>
  <si>
    <t>Savannah Knight</t>
  </si>
  <si>
    <t>Maria Smith</t>
  </si>
  <si>
    <t>Thomas Smith</t>
  </si>
  <si>
    <t>Karen Hudson</t>
  </si>
  <si>
    <t>Michael Barker</t>
  </si>
  <si>
    <t>Dawn Snyder</t>
  </si>
  <si>
    <t>Jose Jones</t>
  </si>
  <si>
    <t>James Burgess</t>
  </si>
  <si>
    <t>Jennifer Jordan</t>
  </si>
  <si>
    <t>Brandon Owens</t>
  </si>
  <si>
    <t>Angela Powell</t>
  </si>
  <si>
    <t>Danielle Morrison</t>
  </si>
  <si>
    <t>Cassidy Collins</t>
  </si>
  <si>
    <t>Douglas Graves</t>
  </si>
  <si>
    <t>Scott Williams</t>
  </si>
  <si>
    <t>Kara Harmon</t>
  </si>
  <si>
    <t>Bobby Henry</t>
  </si>
  <si>
    <t>Kayla Moore</t>
  </si>
  <si>
    <t>Susan Whitehead</t>
  </si>
  <si>
    <t>James Bullock</t>
  </si>
  <si>
    <t>James Daniel</t>
  </si>
  <si>
    <t>Brian Griffith</t>
  </si>
  <si>
    <t>Andre Peters</t>
  </si>
  <si>
    <t>Andrew Sims</t>
  </si>
  <si>
    <t>Deanna Martinez</t>
  </si>
  <si>
    <t>Jeffrey Jones</t>
  </si>
  <si>
    <t>Steven Young</t>
  </si>
  <si>
    <t>Traci Mccullough</t>
  </si>
  <si>
    <t>Lawrence Zamora</t>
  </si>
  <si>
    <t>Caroline Davis</t>
  </si>
  <si>
    <t>Joshua Heath</t>
  </si>
  <si>
    <t>Joshua Martin</t>
  </si>
  <si>
    <t>Jaime Hart</t>
  </si>
  <si>
    <t>Kimberly Quinn</t>
  </si>
  <si>
    <t>Kenneth Davis</t>
  </si>
  <si>
    <t>Jeffrey King</t>
  </si>
  <si>
    <t>Kenneth Oliver</t>
  </si>
  <si>
    <t>John Dickson</t>
  </si>
  <si>
    <t>Eric Clark</t>
  </si>
  <si>
    <t>Larry Jackson</t>
  </si>
  <si>
    <t>Daniel Clark</t>
  </si>
  <si>
    <t>Holly Cooper</t>
  </si>
  <si>
    <t>Lori Daniel</t>
  </si>
  <si>
    <t>Kimberly Zimmerman</t>
  </si>
  <si>
    <t>Anthony Wright</t>
  </si>
  <si>
    <t>Christopher Black</t>
  </si>
  <si>
    <t>John Thompson</t>
  </si>
  <si>
    <t>Mark Young</t>
  </si>
  <si>
    <t>Sandra Cain</t>
  </si>
  <si>
    <t>Danny Mathews</t>
  </si>
  <si>
    <t>Brenda Palmer</t>
  </si>
  <si>
    <t>Jeremy Sullivan</t>
  </si>
  <si>
    <t>Michael Newman</t>
  </si>
  <si>
    <t>Laura Johnson</t>
  </si>
  <si>
    <t>Shelby Miller</t>
  </si>
  <si>
    <t>Allison Moore</t>
  </si>
  <si>
    <t>Annette Ramirez</t>
  </si>
  <si>
    <t>Natalie Kelley</t>
  </si>
  <si>
    <t>Angel Jones</t>
  </si>
  <si>
    <t>Justin Smith</t>
  </si>
  <si>
    <t>Terry Blair</t>
  </si>
  <si>
    <t>Gina Lopez</t>
  </si>
  <si>
    <t>Katherine Decker</t>
  </si>
  <si>
    <t>Alexis Rice</t>
  </si>
  <si>
    <t>Sean Harrington</t>
  </si>
  <si>
    <t>Angela Smith</t>
  </si>
  <si>
    <t>Rose Morrow</t>
  </si>
  <si>
    <t>Olivia Hays</t>
  </si>
  <si>
    <t>Jason Hernandez</t>
  </si>
  <si>
    <t>Alexander Mendez</t>
  </si>
  <si>
    <t>Jeremiah Ward</t>
  </si>
  <si>
    <t>Ashley Cortez</t>
  </si>
  <si>
    <t>Gina Schwartz</t>
  </si>
  <si>
    <t>Robert Hawkins</t>
  </si>
  <si>
    <t>Kelly Snyder</t>
  </si>
  <si>
    <t>Emma Armstrong</t>
  </si>
  <si>
    <t>Crystal Murphy</t>
  </si>
  <si>
    <t>Sarah Brown</t>
  </si>
  <si>
    <t>Dr. Cynthia</t>
  </si>
  <si>
    <t>Shannon Torres</t>
  </si>
  <si>
    <t>Alexandria Trujillo</t>
  </si>
  <si>
    <t>Nathan Jones</t>
  </si>
  <si>
    <t>Christopher Ward</t>
  </si>
  <si>
    <t>Zachary Jordan</t>
  </si>
  <si>
    <t>Susan Scott</t>
  </si>
  <si>
    <t>Lisa Rodriguez</t>
  </si>
  <si>
    <t>Melvin Shepherd</t>
  </si>
  <si>
    <t>Valerie Cameron</t>
  </si>
  <si>
    <t>Mariah Tate</t>
  </si>
  <si>
    <t>Jeanne Young</t>
  </si>
  <si>
    <t>Austin Kline</t>
  </si>
  <si>
    <t>Jamie Murillo</t>
  </si>
  <si>
    <t>Michelle Newton</t>
  </si>
  <si>
    <t>Maria Grant</t>
  </si>
  <si>
    <t>Kendra Key</t>
  </si>
  <si>
    <t>Jennifer Daniels</t>
  </si>
  <si>
    <t>Mr. Gabriel</t>
  </si>
  <si>
    <t>Jasmine Winters</t>
  </si>
  <si>
    <t>Elizabeth Taylor</t>
  </si>
  <si>
    <t>Craig Hart</t>
  </si>
  <si>
    <t>Drew Garcia</t>
  </si>
  <si>
    <t>Kimberly Thomas</t>
  </si>
  <si>
    <t>Rickey Harris</t>
  </si>
  <si>
    <t>Maria Ingram</t>
  </si>
  <si>
    <t>Kimberly Johnson</t>
  </si>
  <si>
    <t>Brooke Kennedy</t>
  </si>
  <si>
    <t>Alison May</t>
  </si>
  <si>
    <t>Matthew Travis</t>
  </si>
  <si>
    <t>Ryan Porter</t>
  </si>
  <si>
    <t>Michael Frank</t>
  </si>
  <si>
    <t>Brooke Hood</t>
  </si>
  <si>
    <t>Cole Vaughan</t>
  </si>
  <si>
    <t>Kayla Pratt</t>
  </si>
  <si>
    <t>Dominic Jones</t>
  </si>
  <si>
    <t>Andrew Baldwin</t>
  </si>
  <si>
    <t>Joseph Payne</t>
  </si>
  <si>
    <t>Tonya Villa</t>
  </si>
  <si>
    <t>Jennifer Johnson</t>
  </si>
  <si>
    <t>Amanda Ruiz</t>
  </si>
  <si>
    <t>Connor Evans</t>
  </si>
  <si>
    <t>Ariel Jackson</t>
  </si>
  <si>
    <t>Logan Walker</t>
  </si>
  <si>
    <t>Christina Todd</t>
  </si>
  <si>
    <t>Brenda Lozano</t>
  </si>
  <si>
    <t>Taylor Fields</t>
  </si>
  <si>
    <t>Kim Montoya</t>
  </si>
  <si>
    <t>Joshua Simpson</t>
  </si>
  <si>
    <t>Brenda Walls</t>
  </si>
  <si>
    <t>Kenneth Burke</t>
  </si>
  <si>
    <t>Jeffery Hutchinson</t>
  </si>
  <si>
    <t>Christian Bates</t>
  </si>
  <si>
    <t>William Perry</t>
  </si>
  <si>
    <t>Miss Christine</t>
  </si>
  <si>
    <t>Erin Martinez</t>
  </si>
  <si>
    <t>James Jones</t>
  </si>
  <si>
    <t>Danielle Martin</t>
  </si>
  <si>
    <t>Richard Long</t>
  </si>
  <si>
    <t>Jacob Ramirez</t>
  </si>
  <si>
    <t>Tracy Diaz</t>
  </si>
  <si>
    <t>Jessica Maynard</t>
  </si>
  <si>
    <t>Christopher Curry</t>
  </si>
  <si>
    <t>Alexis Bailey</t>
  </si>
  <si>
    <t>Sandy Harris</t>
  </si>
  <si>
    <t>Anthony Kelley</t>
  </si>
  <si>
    <t>Benjamin Mayo</t>
  </si>
  <si>
    <t>Megan Ruiz</t>
  </si>
  <si>
    <t>Felicia Whitehead</t>
  </si>
  <si>
    <t>Eric Diaz</t>
  </si>
  <si>
    <t>Jeffrey Lopez</t>
  </si>
  <si>
    <t>Jessica Harris</t>
  </si>
  <si>
    <t>Alex Williams</t>
  </si>
  <si>
    <t>Danielle Hansen</t>
  </si>
  <si>
    <t>Crystal Juarez</t>
  </si>
  <si>
    <t>Gary Mason</t>
  </si>
  <si>
    <t>Dustin Ellis</t>
  </si>
  <si>
    <t>Dylan Davis</t>
  </si>
  <si>
    <t>Robert Freeman</t>
  </si>
  <si>
    <t>Ariel Norris</t>
  </si>
  <si>
    <t>Terry Mack</t>
  </si>
  <si>
    <t>Michael Jackson</t>
  </si>
  <si>
    <t>Kathleen Young</t>
  </si>
  <si>
    <t>Dana Jennings</t>
  </si>
  <si>
    <t>Courtney Smith</t>
  </si>
  <si>
    <t>Brian Foster</t>
  </si>
  <si>
    <t>Edwin Young</t>
  </si>
  <si>
    <t>Christine Lara</t>
  </si>
  <si>
    <t>Patricia Stanley</t>
  </si>
  <si>
    <t>Amy Barton</t>
  </si>
  <si>
    <t>Stephanie Fox</t>
  </si>
  <si>
    <t>James Bridges</t>
  </si>
  <si>
    <t>David Mckenzie</t>
  </si>
  <si>
    <t>Corey Johnson</t>
  </si>
  <si>
    <t>Pamela Blackburn</t>
  </si>
  <si>
    <t>Eddie Woods</t>
  </si>
  <si>
    <t>Nicholas Robinson</t>
  </si>
  <si>
    <t>Laurie Reyes</t>
  </si>
  <si>
    <t>Jessica Reynolds</t>
  </si>
  <si>
    <t>Jessica Jones</t>
  </si>
  <si>
    <t>Rebecca Perez</t>
  </si>
  <si>
    <t>Timothy Hinton</t>
  </si>
  <si>
    <t>Amber Graham</t>
  </si>
  <si>
    <t>Becky Sutton</t>
  </si>
  <si>
    <t>Lori Yang</t>
  </si>
  <si>
    <t>Paula Ramirez</t>
  </si>
  <si>
    <t>Elizabeth Cole</t>
  </si>
  <si>
    <t>Sarah Smith</t>
  </si>
  <si>
    <t>Christopher Taylor</t>
  </si>
  <si>
    <t>Mary Martinez</t>
  </si>
  <si>
    <t>Jesus Ellis</t>
  </si>
  <si>
    <t>Elizabeth Ibarra</t>
  </si>
  <si>
    <t>Marcus Holt</t>
  </si>
  <si>
    <t>Matthew Diaz</t>
  </si>
  <si>
    <t>Denise Perry</t>
  </si>
  <si>
    <t>Linda Carr</t>
  </si>
  <si>
    <t>Rhonda Cross</t>
  </si>
  <si>
    <t>Cheryl Anderson</t>
  </si>
  <si>
    <t>Justin Spence</t>
  </si>
  <si>
    <t>Sandra Walker</t>
  </si>
  <si>
    <t>Olivia Miller</t>
  </si>
  <si>
    <t>Richard Smith</t>
  </si>
  <si>
    <t>Robin Singh</t>
  </si>
  <si>
    <t>Vicki Neal</t>
  </si>
  <si>
    <t>Mrs. Lisa</t>
  </si>
  <si>
    <t>Steven Diaz</t>
  </si>
  <si>
    <t>Elizabeth Fisher</t>
  </si>
  <si>
    <t>John Woods</t>
  </si>
  <si>
    <t>Katherine Clark</t>
  </si>
  <si>
    <t>James Allen</t>
  </si>
  <si>
    <t>Brian Shaw</t>
  </si>
  <si>
    <t>Vickie Jefferson</t>
  </si>
  <si>
    <t>David Dean</t>
  </si>
  <si>
    <t>Benjamin Gomez</t>
  </si>
  <si>
    <t>Nicole Ward</t>
  </si>
  <si>
    <t>Jennifer Smith</t>
  </si>
  <si>
    <t>Michael Roberts</t>
  </si>
  <si>
    <t>Mr. Charles</t>
  </si>
  <si>
    <t>Courtney Thomas</t>
  </si>
  <si>
    <t>Walter Mcconnell</t>
  </si>
  <si>
    <t>Nathan Parsons</t>
  </si>
  <si>
    <t>Ryan Davis</t>
  </si>
  <si>
    <t>Joseph Martinez</t>
  </si>
  <si>
    <t>Mrs. Stephanie</t>
  </si>
  <si>
    <t>Charles Mills</t>
  </si>
  <si>
    <t>Daniel Mendoza</t>
  </si>
  <si>
    <t>Sean Harris</t>
  </si>
  <si>
    <t>Casey Robles</t>
  </si>
  <si>
    <t>Judith Mccarthy</t>
  </si>
  <si>
    <t>Sydney Barrera</t>
  </si>
  <si>
    <t>Ms. Kelli</t>
  </si>
  <si>
    <t>Patricia Johnson</t>
  </si>
  <si>
    <t>Christina Obrien</t>
  </si>
  <si>
    <t>Nicholas Mccarthy</t>
  </si>
  <si>
    <t>William Nelson</t>
  </si>
  <si>
    <t>Bradley Hughes</t>
  </si>
  <si>
    <t>Thomas Lopez</t>
  </si>
  <si>
    <t>Jesse Hardy</t>
  </si>
  <si>
    <t>Alex Clark</t>
  </si>
  <si>
    <t>Mr. Jordan</t>
  </si>
  <si>
    <t>Valerie Lane</t>
  </si>
  <si>
    <t>Deborah Zamora</t>
  </si>
  <si>
    <t>James Miller</t>
  </si>
  <si>
    <t>Seth Rogers</t>
  </si>
  <si>
    <t>Darrell Jones</t>
  </si>
  <si>
    <t>Ashley Hebert</t>
  </si>
  <si>
    <t>Jason Henderson</t>
  </si>
  <si>
    <t>Amanda Brown</t>
  </si>
  <si>
    <t>Carrie Richardson</t>
  </si>
  <si>
    <t>Marie Young</t>
  </si>
  <si>
    <t>Michael Harris</t>
  </si>
  <si>
    <t>Kristen Douglas</t>
  </si>
  <si>
    <t>Victoria Bishop</t>
  </si>
  <si>
    <t>Joyce Rodriguez</t>
  </si>
  <si>
    <t>Michael Thompson</t>
  </si>
  <si>
    <t>Jennifer Fischer</t>
  </si>
  <si>
    <t>Emma Roy</t>
  </si>
  <si>
    <t>Tina Weber</t>
  </si>
  <si>
    <t>Robert Benton</t>
  </si>
  <si>
    <t>Robert Walsh</t>
  </si>
  <si>
    <t>Maria Silva</t>
  </si>
  <si>
    <t>April Turner</t>
  </si>
  <si>
    <t>Sue Walsh</t>
  </si>
  <si>
    <t>John James</t>
  </si>
  <si>
    <t>Austin Schmitt</t>
  </si>
  <si>
    <t>Angela Carroll</t>
  </si>
  <si>
    <t>Benjamin Chen</t>
  </si>
  <si>
    <t>William Flores</t>
  </si>
  <si>
    <t>Troy Gutierrez</t>
  </si>
  <si>
    <t>Jose Hernandez</t>
  </si>
  <si>
    <t>Brenda Padilla</t>
  </si>
  <si>
    <t>Luis Barnes</t>
  </si>
  <si>
    <t>Tracy Adkins</t>
  </si>
  <si>
    <t>Ashley Washington</t>
  </si>
  <si>
    <t>Jack Cannon</t>
  </si>
  <si>
    <t>Dana Mitchell</t>
  </si>
  <si>
    <t>Sarah Tucker</t>
  </si>
  <si>
    <t>Mary Cole</t>
  </si>
  <si>
    <t>Ronald Gomez</t>
  </si>
  <si>
    <t>Brianna Brown</t>
  </si>
  <si>
    <t>Lindsay Allen</t>
  </si>
  <si>
    <t>Juan Sutton</t>
  </si>
  <si>
    <t>Stephanie Eaton</t>
  </si>
  <si>
    <t>Joy Jones</t>
  </si>
  <si>
    <t>Alice Ramsey</t>
  </si>
  <si>
    <t>David Cole</t>
  </si>
  <si>
    <t>John Sanders</t>
  </si>
  <si>
    <t>Anita Smith</t>
  </si>
  <si>
    <t>Jamie West</t>
  </si>
  <si>
    <t>Mrs. Monique</t>
  </si>
  <si>
    <t>Jason Maddox</t>
  </si>
  <si>
    <t>Cheryl Williams</t>
  </si>
  <si>
    <t>Mitchell Walker</t>
  </si>
  <si>
    <t>Janice Robinson</t>
  </si>
  <si>
    <t>Katelyn Martinez</t>
  </si>
  <si>
    <t>Caleb Mcdonald</t>
  </si>
  <si>
    <t>Tammie Harris</t>
  </si>
  <si>
    <t>Sherry Fuller</t>
  </si>
  <si>
    <t>Jordan Perry</t>
  </si>
  <si>
    <t>Robert Jackson</t>
  </si>
  <si>
    <t>Mary Ramos</t>
  </si>
  <si>
    <t>Angelica Sanchez</t>
  </si>
  <si>
    <t>Kelly Stephens</t>
  </si>
  <si>
    <t>Jeffrey Montgomery</t>
  </si>
  <si>
    <t>Amy Roberts</t>
  </si>
  <si>
    <t>Robert Salazar</t>
  </si>
  <si>
    <t>Caitlin Potter</t>
  </si>
  <si>
    <t>Jessica Delacruz</t>
  </si>
  <si>
    <t>Timothy Fowler</t>
  </si>
  <si>
    <t>Stephanie Montoya</t>
  </si>
  <si>
    <t>Paige Le</t>
  </si>
  <si>
    <t>Renee Green</t>
  </si>
  <si>
    <t>Jessica Alvarez</t>
  </si>
  <si>
    <t>Christy Williams</t>
  </si>
  <si>
    <t>Daniel Alvarez</t>
  </si>
  <si>
    <t>April Perez</t>
  </si>
  <si>
    <t>Joseph Boyd</t>
  </si>
  <si>
    <t>Jessica Rivers</t>
  </si>
  <si>
    <t>George Matthews</t>
  </si>
  <si>
    <t>Mark Buck</t>
  </si>
  <si>
    <t>Victoria Fernandez</t>
  </si>
  <si>
    <t>Stacy Martinez</t>
  </si>
  <si>
    <t>Sara Lee</t>
  </si>
  <si>
    <t>Richard Hanson</t>
  </si>
  <si>
    <t>Christopher Reeves</t>
  </si>
  <si>
    <t>Laura Jones</t>
  </si>
  <si>
    <t>Harold Flores</t>
  </si>
  <si>
    <t>Michael Landry</t>
  </si>
  <si>
    <t>Christopher Turner</t>
  </si>
  <si>
    <t>Katherine Nelson</t>
  </si>
  <si>
    <t>Ashley Hill</t>
  </si>
  <si>
    <t>Brenda Drake</t>
  </si>
  <si>
    <t>John Rodriguez</t>
  </si>
  <si>
    <t>Cassidy Baker</t>
  </si>
  <si>
    <t>Cindy Owens</t>
  </si>
  <si>
    <t>Ruth Harris</t>
  </si>
  <si>
    <t>Brooke Rodriguez</t>
  </si>
  <si>
    <t>Billy Woods</t>
  </si>
  <si>
    <t>Vincent Moore</t>
  </si>
  <si>
    <t>Brian Patel</t>
  </si>
  <si>
    <t>Thomas Flynn</t>
  </si>
  <si>
    <t>Tracy Gonzalez</t>
  </si>
  <si>
    <t>Carly Austin</t>
  </si>
  <si>
    <t>Ryan Hester</t>
  </si>
  <si>
    <t>Nancy Mcmahon</t>
  </si>
  <si>
    <t>Carol Williams</t>
  </si>
  <si>
    <t>Erik Salas</t>
  </si>
  <si>
    <t>Full Name</t>
  </si>
  <si>
    <t>Age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</si>
</sst>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7" formatCode="&quot;$&quot;#,##0.00"/>
    <numFmt numFmtId="168" formatCode="&quot;$&quot;#,##0.0"/>
    <numFmt numFmtId="169" formatCode="&quot;$&quot;#,##0"/>
    <numFmt numFmtId="171" formatCode="dd\/mm\/yyyy"/>
    <numFmt numFmtId="172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tabSelected="1" zoomScale="110" zoomScaleNormal="110" workbookViewId="0">
      <pane ySplit="1" topLeftCell="A14" activePane="bottomLeft" state="frozen"/>
      <selection pane="bottomLeft" activeCell="E10" sqref="E10"/>
    </sheetView>
  </sheetViews>
  <sheetFormatPr defaultRowHeight="15" x14ac:dyDescent="0.25"/>
  <cols>
    <col min="1" max="1" width="17.5703125" bestFit="1" customWidth="1"/>
    <col min="2" max="2" width="24.85546875" bestFit="1" customWidth="1"/>
    <col min="3" max="3" width="27.85546875" bestFit="1" customWidth="1"/>
    <col min="4" max="4" width="29.7109375" bestFit="1" customWidth="1"/>
    <col min="5" max="5" width="24" customWidth="1"/>
    <col min="6" max="6" width="7.7109375" style="5" bestFit="1" customWidth="1"/>
    <col min="7" max="7" width="27.7109375" style="5" bestFit="1" customWidth="1"/>
    <col min="8" max="8" width="13.42578125" style="5" bestFit="1" customWidth="1"/>
    <col min="9" max="9" width="31" style="5" customWidth="1"/>
    <col min="10" max="10" width="14.140625" bestFit="1" customWidth="1"/>
    <col min="11" max="11" width="18.85546875" bestFit="1" customWidth="1"/>
    <col min="12" max="12" width="15.7109375" bestFit="1" customWidth="1"/>
    <col min="13" max="13" width="17.42578125" bestFit="1" customWidth="1"/>
    <col min="14" max="14" width="17.42578125" customWidth="1"/>
    <col min="15" max="16" width="22" customWidth="1"/>
    <col min="17" max="17" width="48.5703125" bestFit="1" customWidth="1"/>
    <col min="18" max="18" width="36.85546875" bestFit="1" customWidth="1"/>
    <col min="19" max="19" width="30" bestFit="1" customWidth="1"/>
    <col min="20" max="20" width="21.28515625" bestFit="1" customWidth="1"/>
  </cols>
  <sheetData>
    <row r="1" spans="1:20" s="3" customFormat="1" ht="26.25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3048</v>
      </c>
      <c r="F1" s="4" t="s">
        <v>4</v>
      </c>
      <c r="G1" s="4" t="s">
        <v>3049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2054</v>
      </c>
      <c r="O1" s="4" t="s">
        <v>11</v>
      </c>
      <c r="P1" s="4" t="s">
        <v>2055</v>
      </c>
      <c r="Q1" s="4" t="s">
        <v>2056</v>
      </c>
      <c r="R1" s="4" t="s">
        <v>12</v>
      </c>
      <c r="S1" s="4" t="s">
        <v>13</v>
      </c>
      <c r="T1" s="4" t="s">
        <v>14</v>
      </c>
    </row>
    <row r="2" spans="1:20" x14ac:dyDescent="0.25">
      <c r="A2" s="5" t="s">
        <v>15</v>
      </c>
      <c r="B2" s="10">
        <v>45597</v>
      </c>
      <c r="C2" s="5" t="s">
        <v>1014</v>
      </c>
      <c r="D2" s="11" t="s">
        <v>1021</v>
      </c>
      <c r="E2" s="5" t="s">
        <v>2057</v>
      </c>
      <c r="F2" s="5">
        <v>28</v>
      </c>
      <c r="G2" s="5" t="str" cm="1">
        <f t="array" ref="G2">_xlfn.IFS(F2&lt;12,"Child",F2&lt;18,"Teen",F2&lt;25,"Young",F2&lt;40,"Adult",F2&lt;60,"Middle Age",F2&gt;=60,"Old")</f>
        <v>Adult</v>
      </c>
      <c r="H2" s="5" t="s">
        <v>2043</v>
      </c>
      <c r="I2" s="5" t="s">
        <v>2045</v>
      </c>
      <c r="J2" s="5" t="s">
        <v>2016</v>
      </c>
      <c r="K2" s="5" t="str">
        <f>VLOOKUP(J2,Sheet2!$A$1:$B$11,2,FALSE)</f>
        <v>Winter Wear</v>
      </c>
      <c r="L2" s="5">
        <v>1</v>
      </c>
      <c r="M2" s="6">
        <v>201</v>
      </c>
      <c r="N2" s="6">
        <v>201</v>
      </c>
      <c r="O2" s="7">
        <v>0.15</v>
      </c>
      <c r="P2" s="8">
        <f>N2*O2</f>
        <v>30.15</v>
      </c>
      <c r="Q2" s="9">
        <f>N2-P2</f>
        <v>170.85</v>
      </c>
      <c r="R2" s="5">
        <v>3</v>
      </c>
      <c r="S2" s="5" t="s">
        <v>2032</v>
      </c>
      <c r="T2" s="5" t="s">
        <v>2035</v>
      </c>
    </row>
    <row r="3" spans="1:20" x14ac:dyDescent="0.25">
      <c r="A3" s="5" t="s">
        <v>16</v>
      </c>
      <c r="B3" s="10">
        <v>45704</v>
      </c>
      <c r="C3" s="5" t="s">
        <v>1015</v>
      </c>
      <c r="D3" s="11" t="s">
        <v>1022</v>
      </c>
      <c r="E3" s="5" t="s">
        <v>2058</v>
      </c>
      <c r="F3" s="5">
        <v>39</v>
      </c>
      <c r="G3" s="5" t="str" cm="1">
        <f t="array" ref="G3">_xlfn.IFS(F3&lt;12,"Child",F3&lt;18,"Teen",F3&lt;25,"Young",F3&lt;40,"Adult",F3&lt;60,"Middle Age",F3&gt;=60,"Old")</f>
        <v>Adult</v>
      </c>
      <c r="H3" s="5" t="s">
        <v>2043</v>
      </c>
      <c r="I3" s="5" t="s">
        <v>2046</v>
      </c>
      <c r="J3" s="5" t="s">
        <v>2017</v>
      </c>
      <c r="K3" s="5" t="str">
        <f>VLOOKUP(J3,Sheet2!$A$1:$B$11,2,FALSE)</f>
        <v>Casual Wear</v>
      </c>
      <c r="L3" s="5">
        <v>4</v>
      </c>
      <c r="M3" s="6">
        <v>1093</v>
      </c>
      <c r="N3" s="6">
        <v>4372</v>
      </c>
      <c r="O3" s="7">
        <v>0.1</v>
      </c>
      <c r="P3" s="8">
        <f t="shared" ref="P3:P66" si="0">N3*O3</f>
        <v>437.20000000000005</v>
      </c>
      <c r="Q3" s="9">
        <f t="shared" ref="Q3:Q66" si="1">N3-P3</f>
        <v>3934.8</v>
      </c>
      <c r="R3" s="5">
        <v>78</v>
      </c>
      <c r="S3" s="5" t="s">
        <v>2032</v>
      </c>
      <c r="T3" s="5" t="s">
        <v>2036</v>
      </c>
    </row>
    <row r="4" spans="1:20" x14ac:dyDescent="0.25">
      <c r="A4" s="5" t="s">
        <v>17</v>
      </c>
      <c r="B4" s="10">
        <v>45607</v>
      </c>
      <c r="C4" s="5" t="s">
        <v>1016</v>
      </c>
      <c r="D4" s="11" t="s">
        <v>1023</v>
      </c>
      <c r="E4" s="5" t="s">
        <v>2059</v>
      </c>
      <c r="F4" s="5">
        <v>54</v>
      </c>
      <c r="G4" s="5" t="str" cm="1">
        <f t="array" ref="G4">_xlfn.IFS(F4&lt;12,"Child",F4&lt;18,"Teen",F4&lt;25,"Young",F4&lt;40,"Adult",F4&lt;60,"Middle Age",F4&gt;=60,"Old")</f>
        <v>Middle Age</v>
      </c>
      <c r="H4" s="5" t="s">
        <v>2044</v>
      </c>
      <c r="I4" s="5" t="s">
        <v>2015</v>
      </c>
      <c r="J4" s="5" t="s">
        <v>2018</v>
      </c>
      <c r="K4" s="5" t="str">
        <f>VLOOKUP(J4,Sheet2!$A$1:$B$11,2,FALSE)</f>
        <v>Sportswear</v>
      </c>
      <c r="L4" s="5">
        <v>2</v>
      </c>
      <c r="M4" s="6">
        <v>852</v>
      </c>
      <c r="N4" s="6">
        <v>1704</v>
      </c>
      <c r="O4" s="7">
        <v>0</v>
      </c>
      <c r="P4" s="8">
        <f t="shared" si="0"/>
        <v>0</v>
      </c>
      <c r="Q4" s="9">
        <f t="shared" si="1"/>
        <v>1704</v>
      </c>
      <c r="R4" s="5">
        <v>34</v>
      </c>
      <c r="S4" s="5" t="s">
        <v>2033</v>
      </c>
      <c r="T4" s="5" t="s">
        <v>2037</v>
      </c>
    </row>
    <row r="5" spans="1:20" x14ac:dyDescent="0.25">
      <c r="A5" s="5" t="s">
        <v>18</v>
      </c>
      <c r="B5" s="10">
        <v>45632</v>
      </c>
      <c r="C5" s="5" t="s">
        <v>1014</v>
      </c>
      <c r="D5" s="11" t="s">
        <v>1024</v>
      </c>
      <c r="E5" s="5" t="s">
        <v>2060</v>
      </c>
      <c r="F5" s="5">
        <v>60</v>
      </c>
      <c r="G5" s="5" t="str" cm="1">
        <f t="array" ref="G5">_xlfn.IFS(F5&lt;12,"Child",F5&lt;18,"Teen",F5&lt;25,"Young",F5&lt;40,"Adult",F5&lt;60,"Middle Age",F5&gt;=60,"Old")</f>
        <v>Old</v>
      </c>
      <c r="H5" s="5" t="s">
        <v>2044</v>
      </c>
      <c r="I5" s="5" t="s">
        <v>2015</v>
      </c>
      <c r="J5" s="5" t="s">
        <v>2019</v>
      </c>
      <c r="K5" s="5" t="str">
        <f>VLOOKUP(J5,Sheet2!$A$1:$B$11,2,FALSE)</f>
        <v>Formal Wear</v>
      </c>
      <c r="L5" s="5">
        <v>3</v>
      </c>
      <c r="M5" s="6">
        <v>1194</v>
      </c>
      <c r="N5" s="6">
        <v>3582</v>
      </c>
      <c r="O5" s="7">
        <v>0.1</v>
      </c>
      <c r="P5" s="8">
        <f t="shared" si="0"/>
        <v>358.20000000000005</v>
      </c>
      <c r="Q5" s="9">
        <f t="shared" si="1"/>
        <v>3223.8</v>
      </c>
      <c r="R5" s="5">
        <v>64</v>
      </c>
      <c r="S5" s="5" t="s">
        <v>2032</v>
      </c>
      <c r="T5" s="5" t="s">
        <v>2037</v>
      </c>
    </row>
    <row r="6" spans="1:20" x14ac:dyDescent="0.25">
      <c r="A6" s="5" t="s">
        <v>19</v>
      </c>
      <c r="B6" s="10">
        <v>45516</v>
      </c>
      <c r="C6" s="5" t="s">
        <v>1016</v>
      </c>
      <c r="D6" s="11" t="s">
        <v>1025</v>
      </c>
      <c r="E6" s="5" t="s">
        <v>2061</v>
      </c>
      <c r="F6" s="5">
        <v>42</v>
      </c>
      <c r="G6" s="5" t="str" cm="1">
        <f t="array" ref="G6">_xlfn.IFS(F6&lt;12,"Child",F6&lt;18,"Teen",F6&lt;25,"Young",F6&lt;40,"Adult",F6&lt;60,"Middle Age",F6&gt;=60,"Old")</f>
        <v>Middle Age</v>
      </c>
      <c r="H6" s="5" t="s">
        <v>2044</v>
      </c>
      <c r="I6" s="5" t="s">
        <v>2045</v>
      </c>
      <c r="J6" s="5" t="s">
        <v>2020</v>
      </c>
      <c r="K6" s="5" t="str">
        <f>VLOOKUP(J6,Sheet2!$A$1:$B$11,2,FALSE)</f>
        <v>Summer Wear</v>
      </c>
      <c r="L6" s="5">
        <v>1</v>
      </c>
      <c r="M6" s="6">
        <v>488</v>
      </c>
      <c r="N6" s="6">
        <v>488</v>
      </c>
      <c r="O6" s="7">
        <v>0.05</v>
      </c>
      <c r="P6" s="8">
        <f t="shared" si="0"/>
        <v>24.400000000000002</v>
      </c>
      <c r="Q6" s="9">
        <f t="shared" si="1"/>
        <v>463.6</v>
      </c>
      <c r="R6" s="5">
        <v>9</v>
      </c>
      <c r="S6" s="5" t="s">
        <v>2034</v>
      </c>
      <c r="T6" s="5" t="s">
        <v>2036</v>
      </c>
    </row>
    <row r="7" spans="1:20" x14ac:dyDescent="0.25">
      <c r="A7" s="5" t="s">
        <v>20</v>
      </c>
      <c r="B7" s="10">
        <v>45623</v>
      </c>
      <c r="C7" s="5" t="s">
        <v>1017</v>
      </c>
      <c r="D7" s="11" t="s">
        <v>1026</v>
      </c>
      <c r="E7" s="5" t="s">
        <v>2062</v>
      </c>
      <c r="F7" s="5">
        <v>40</v>
      </c>
      <c r="G7" s="5" t="str" cm="1">
        <f t="array" ref="G7">_xlfn.IFS(F7&lt;12,"Child",F7&lt;18,"Teen",F7&lt;25,"Young",F7&lt;40,"Adult",F7&lt;60,"Middle Age",F7&gt;=60,"Old")</f>
        <v>Middle Age</v>
      </c>
      <c r="H7" s="5" t="s">
        <v>2044</v>
      </c>
      <c r="I7" s="5" t="s">
        <v>2048</v>
      </c>
      <c r="J7" s="5" t="s">
        <v>2021</v>
      </c>
      <c r="K7" s="5" t="str">
        <f>VLOOKUP(J7,Sheet2!$A$1:$B$11,2,FALSE)</f>
        <v>Casual Wear</v>
      </c>
      <c r="L7" s="5">
        <v>5</v>
      </c>
      <c r="M7" s="6">
        <v>787</v>
      </c>
      <c r="N7" s="6">
        <v>3935</v>
      </c>
      <c r="O7" s="7">
        <v>0.15</v>
      </c>
      <c r="P7" s="8">
        <f t="shared" si="0"/>
        <v>590.25</v>
      </c>
      <c r="Q7" s="9">
        <f t="shared" si="1"/>
        <v>3344.75</v>
      </c>
      <c r="R7" s="5">
        <v>66</v>
      </c>
      <c r="S7" s="5" t="s">
        <v>2034</v>
      </c>
      <c r="T7" s="5" t="s">
        <v>2036</v>
      </c>
    </row>
    <row r="8" spans="1:20" x14ac:dyDescent="0.25">
      <c r="A8" s="5" t="s">
        <v>21</v>
      </c>
      <c r="B8" s="10">
        <v>45547</v>
      </c>
      <c r="C8" s="5" t="s">
        <v>1018</v>
      </c>
      <c r="D8" s="11" t="s">
        <v>1027</v>
      </c>
      <c r="E8" s="5" t="s">
        <v>2063</v>
      </c>
      <c r="F8" s="5">
        <v>19</v>
      </c>
      <c r="G8" s="5" t="str" cm="1">
        <f t="array" ref="G8">_xlfn.IFS(F8&lt;12,"Child",F8&lt;18,"Teen",F8&lt;25,"Young",F8&lt;40,"Adult",F8&lt;60,"Middle Age",F8&gt;=60,"Old")</f>
        <v>Young</v>
      </c>
      <c r="H8" s="5" t="s">
        <v>2043</v>
      </c>
      <c r="I8" s="5" t="s">
        <v>2049</v>
      </c>
      <c r="J8" s="5" t="s">
        <v>2022</v>
      </c>
      <c r="K8" s="5" t="str">
        <f>VLOOKUP(J8,Sheet2!$A$1:$B$11,2,FALSE)</f>
        <v>Sportswear</v>
      </c>
      <c r="L8" s="5">
        <v>3</v>
      </c>
      <c r="M8" s="6">
        <v>165</v>
      </c>
      <c r="N8" s="6">
        <v>495</v>
      </c>
      <c r="O8" s="7">
        <v>0.05</v>
      </c>
      <c r="P8" s="8">
        <f t="shared" si="0"/>
        <v>24.75</v>
      </c>
      <c r="Q8" s="9">
        <f t="shared" si="1"/>
        <v>470.25</v>
      </c>
      <c r="R8" s="5">
        <v>9</v>
      </c>
      <c r="S8" s="5" t="s">
        <v>2033</v>
      </c>
      <c r="T8" s="5" t="s">
        <v>2037</v>
      </c>
    </row>
    <row r="9" spans="1:20" x14ac:dyDescent="0.25">
      <c r="A9" s="5" t="s">
        <v>22</v>
      </c>
      <c r="B9" s="10">
        <v>45713</v>
      </c>
      <c r="C9" s="5" t="s">
        <v>1019</v>
      </c>
      <c r="D9" s="11" t="s">
        <v>1028</v>
      </c>
      <c r="E9" s="5" t="s">
        <v>2064</v>
      </c>
      <c r="F9" s="5">
        <v>53</v>
      </c>
      <c r="G9" s="5" t="str" cm="1">
        <f t="array" ref="G9">_xlfn.IFS(F9&lt;12,"Child",F9&lt;18,"Teen",F9&lt;25,"Young",F9&lt;40,"Adult",F9&lt;60,"Middle Age",F9&gt;=60,"Old")</f>
        <v>Middle Age</v>
      </c>
      <c r="H9" s="5" t="s">
        <v>2044</v>
      </c>
      <c r="I9" s="5" t="s">
        <v>2048</v>
      </c>
      <c r="J9" s="5" t="s">
        <v>2016</v>
      </c>
      <c r="K9" s="5" t="str">
        <f>VLOOKUP(J9,Sheet2!$A$1:$B$11,2,FALSE)</f>
        <v>Winter Wear</v>
      </c>
      <c r="L9" s="5">
        <v>4</v>
      </c>
      <c r="M9" s="6">
        <v>693</v>
      </c>
      <c r="N9" s="6">
        <v>2772</v>
      </c>
      <c r="O9" s="7">
        <v>0.1</v>
      </c>
      <c r="P9" s="8">
        <f t="shared" si="0"/>
        <v>277.2</v>
      </c>
      <c r="Q9" s="9">
        <f t="shared" si="1"/>
        <v>2494.8000000000002</v>
      </c>
      <c r="R9" s="5">
        <v>49</v>
      </c>
      <c r="S9" s="5" t="s">
        <v>2034</v>
      </c>
      <c r="T9" s="5" t="s">
        <v>2035</v>
      </c>
    </row>
    <row r="10" spans="1:20" x14ac:dyDescent="0.25">
      <c r="A10" s="5" t="s">
        <v>23</v>
      </c>
      <c r="B10" s="10">
        <v>45437</v>
      </c>
      <c r="C10" s="5" t="s">
        <v>1020</v>
      </c>
      <c r="D10" s="11" t="s">
        <v>1029</v>
      </c>
      <c r="E10" s="5" t="s">
        <v>2065</v>
      </c>
      <c r="F10" s="5">
        <v>18</v>
      </c>
      <c r="G10" s="5" t="str" cm="1">
        <f t="array" ref="G10">_xlfn.IFS(F10&lt;12,"Child",F10&lt;18,"Teen",F10&lt;25,"Young",F10&lt;40,"Adult",F10&lt;60,"Middle Age",F10&gt;=60,"Old")</f>
        <v>Young</v>
      </c>
      <c r="H10" s="5" t="s">
        <v>2043</v>
      </c>
      <c r="I10" s="5" t="s">
        <v>2050</v>
      </c>
      <c r="J10" s="5" t="s">
        <v>2021</v>
      </c>
      <c r="K10" s="5" t="str">
        <f>VLOOKUP(J10,Sheet2!$A$1:$B$11,2,FALSE)</f>
        <v>Casual Wear</v>
      </c>
      <c r="L10" s="5">
        <v>3</v>
      </c>
      <c r="M10" s="6">
        <v>1158</v>
      </c>
      <c r="N10" s="6">
        <v>3474</v>
      </c>
      <c r="O10" s="7">
        <v>0.05</v>
      </c>
      <c r="P10" s="8">
        <f t="shared" si="0"/>
        <v>173.70000000000002</v>
      </c>
      <c r="Q10" s="9">
        <f t="shared" si="1"/>
        <v>3300.3</v>
      </c>
      <c r="R10" s="5">
        <v>66</v>
      </c>
      <c r="S10" s="5" t="s">
        <v>2033</v>
      </c>
      <c r="T10" s="5" t="s">
        <v>2036</v>
      </c>
    </row>
    <row r="11" spans="1:20" x14ac:dyDescent="0.25">
      <c r="A11" s="5" t="s">
        <v>24</v>
      </c>
      <c r="B11" s="10">
        <v>45525</v>
      </c>
      <c r="C11" s="5" t="s">
        <v>1017</v>
      </c>
      <c r="D11" s="11" t="s">
        <v>1030</v>
      </c>
      <c r="E11" s="5" t="s">
        <v>2066</v>
      </c>
      <c r="F11" s="5">
        <v>31</v>
      </c>
      <c r="G11" s="5" t="str" cm="1">
        <f t="array" ref="G11">_xlfn.IFS(F11&lt;12,"Child",F11&lt;18,"Teen",F11&lt;25,"Young",F11&lt;40,"Adult",F11&lt;60,"Middle Age",F11&gt;=60,"Old")</f>
        <v>Adult</v>
      </c>
      <c r="H11" s="5" t="s">
        <v>2044</v>
      </c>
      <c r="I11" s="5" t="s">
        <v>2047</v>
      </c>
      <c r="J11" s="5" t="s">
        <v>2023</v>
      </c>
      <c r="K11" s="5" t="str">
        <f>VLOOKUP(J11,Sheet2!$A$1:$B$11,2,FALSE)</f>
        <v>Formal Wear</v>
      </c>
      <c r="L11" s="5">
        <v>5</v>
      </c>
      <c r="M11" s="6">
        <v>222</v>
      </c>
      <c r="N11" s="6">
        <v>1110</v>
      </c>
      <c r="O11" s="7">
        <v>0.1</v>
      </c>
      <c r="P11" s="8">
        <f t="shared" si="0"/>
        <v>111</v>
      </c>
      <c r="Q11" s="9">
        <f t="shared" si="1"/>
        <v>999</v>
      </c>
      <c r="R11" s="5">
        <v>19</v>
      </c>
      <c r="S11" s="5" t="s">
        <v>2032</v>
      </c>
      <c r="T11" s="5" t="s">
        <v>2036</v>
      </c>
    </row>
    <row r="12" spans="1:20" x14ac:dyDescent="0.25">
      <c r="A12" s="5" t="s">
        <v>25</v>
      </c>
      <c r="B12" s="10">
        <v>45559</v>
      </c>
      <c r="C12" s="5" t="s">
        <v>1019</v>
      </c>
      <c r="D12" s="11" t="s">
        <v>1031</v>
      </c>
      <c r="E12" s="5" t="s">
        <v>2067</v>
      </c>
      <c r="F12" s="5">
        <v>46</v>
      </c>
      <c r="G12" s="5" t="str" cm="1">
        <f t="array" ref="G12">_xlfn.IFS(F12&lt;12,"Child",F12&lt;18,"Teen",F12&lt;25,"Young",F12&lt;40,"Adult",F12&lt;60,"Middle Age",F12&gt;=60,"Old")</f>
        <v>Middle Age</v>
      </c>
      <c r="H12" s="5" t="s">
        <v>2043</v>
      </c>
      <c r="I12" s="5" t="s">
        <v>2046</v>
      </c>
      <c r="J12" s="5" t="s">
        <v>2018</v>
      </c>
      <c r="K12" s="5" t="str">
        <f>VLOOKUP(J12,Sheet2!$A$1:$B$11,2,FALSE)</f>
        <v>Sportswear</v>
      </c>
      <c r="L12" s="5">
        <v>5</v>
      </c>
      <c r="M12" s="6">
        <v>279</v>
      </c>
      <c r="N12" s="6">
        <v>1395</v>
      </c>
      <c r="O12" s="7">
        <v>0.1</v>
      </c>
      <c r="P12" s="8">
        <f t="shared" si="0"/>
        <v>139.5</v>
      </c>
      <c r="Q12" s="9">
        <f t="shared" si="1"/>
        <v>1255.5</v>
      </c>
      <c r="R12" s="5">
        <v>25</v>
      </c>
      <c r="S12" s="5" t="s">
        <v>2034</v>
      </c>
      <c r="T12" s="5" t="s">
        <v>2035</v>
      </c>
    </row>
    <row r="13" spans="1:20" x14ac:dyDescent="0.25">
      <c r="A13" s="5" t="s">
        <v>26</v>
      </c>
      <c r="B13" s="10">
        <v>45613</v>
      </c>
      <c r="C13" s="5" t="s">
        <v>1015</v>
      </c>
      <c r="D13" s="11" t="s">
        <v>1032</v>
      </c>
      <c r="E13" s="5" t="s">
        <v>2068</v>
      </c>
      <c r="F13" s="5">
        <v>48</v>
      </c>
      <c r="G13" s="5" t="str" cm="1">
        <f t="array" ref="G13">_xlfn.IFS(F13&lt;12,"Child",F13&lt;18,"Teen",F13&lt;25,"Young",F13&lt;40,"Adult",F13&lt;60,"Middle Age",F13&gt;=60,"Old")</f>
        <v>Middle Age</v>
      </c>
      <c r="H13" s="5" t="s">
        <v>2044</v>
      </c>
      <c r="I13" s="5" t="s">
        <v>2049</v>
      </c>
      <c r="J13" s="5" t="s">
        <v>2018</v>
      </c>
      <c r="K13" s="5" t="str">
        <f>VLOOKUP(J13,Sheet2!$A$1:$B$11,2,FALSE)</f>
        <v>Sportswear</v>
      </c>
      <c r="L13" s="5">
        <v>1</v>
      </c>
      <c r="M13" s="6">
        <v>342</v>
      </c>
      <c r="N13" s="6">
        <v>342</v>
      </c>
      <c r="O13" s="7">
        <v>0.1</v>
      </c>
      <c r="P13" s="8">
        <f t="shared" si="0"/>
        <v>34.200000000000003</v>
      </c>
      <c r="Q13" s="9">
        <f t="shared" si="1"/>
        <v>307.8</v>
      </c>
      <c r="R13" s="5">
        <v>6</v>
      </c>
      <c r="S13" s="5" t="s">
        <v>2033</v>
      </c>
      <c r="T13" s="5" t="s">
        <v>2037</v>
      </c>
    </row>
    <row r="14" spans="1:20" x14ac:dyDescent="0.25">
      <c r="A14" s="5" t="s">
        <v>27</v>
      </c>
      <c r="B14" s="10">
        <v>45429</v>
      </c>
      <c r="C14" s="5" t="s">
        <v>1014</v>
      </c>
      <c r="D14" s="11" t="s">
        <v>1033</v>
      </c>
      <c r="E14" s="5" t="s">
        <v>2069</v>
      </c>
      <c r="F14" s="5">
        <v>33</v>
      </c>
      <c r="G14" s="5" t="str" cm="1">
        <f t="array" ref="G14">_xlfn.IFS(F14&lt;12,"Child",F14&lt;18,"Teen",F14&lt;25,"Young",F14&lt;40,"Adult",F14&lt;60,"Middle Age",F14&gt;=60,"Old")</f>
        <v>Adult</v>
      </c>
      <c r="H14" s="5" t="s">
        <v>2043</v>
      </c>
      <c r="I14" s="5" t="s">
        <v>2051</v>
      </c>
      <c r="J14" s="5" t="s">
        <v>2020</v>
      </c>
      <c r="K14" s="5" t="str">
        <f>VLOOKUP(J14,Sheet2!$A$1:$B$11,2,FALSE)</f>
        <v>Summer Wear</v>
      </c>
      <c r="L14" s="5">
        <v>2</v>
      </c>
      <c r="M14" s="6">
        <v>818</v>
      </c>
      <c r="N14" s="6">
        <v>1636</v>
      </c>
      <c r="O14" s="7">
        <v>0</v>
      </c>
      <c r="P14" s="8">
        <f t="shared" si="0"/>
        <v>0</v>
      </c>
      <c r="Q14" s="9">
        <f t="shared" si="1"/>
        <v>1636</v>
      </c>
      <c r="R14" s="5">
        <v>32</v>
      </c>
      <c r="S14" s="5" t="s">
        <v>2033</v>
      </c>
      <c r="T14" s="5" t="s">
        <v>2036</v>
      </c>
    </row>
    <row r="15" spans="1:20" x14ac:dyDescent="0.25">
      <c r="A15" s="5" t="s">
        <v>28</v>
      </c>
      <c r="B15" s="10">
        <v>45463</v>
      </c>
      <c r="C15" s="5" t="s">
        <v>1018</v>
      </c>
      <c r="D15" s="11" t="s">
        <v>1034</v>
      </c>
      <c r="E15" s="5" t="s">
        <v>2070</v>
      </c>
      <c r="F15" s="5">
        <v>25</v>
      </c>
      <c r="G15" s="5" t="str" cm="1">
        <f t="array" ref="G15">_xlfn.IFS(F15&lt;12,"Child",F15&lt;18,"Teen",F15&lt;25,"Young",F15&lt;40,"Adult",F15&lt;60,"Middle Age",F15&gt;=60,"Old")</f>
        <v>Adult</v>
      </c>
      <c r="H15" s="5" t="s">
        <v>2044</v>
      </c>
      <c r="I15" s="5" t="s">
        <v>2047</v>
      </c>
      <c r="J15" s="5" t="s">
        <v>2024</v>
      </c>
      <c r="K15" s="5" t="str">
        <f>VLOOKUP(J15,Sheet2!$A$1:$B$11,2,FALSE)</f>
        <v>Fashion Accessories</v>
      </c>
      <c r="L15" s="5">
        <v>2</v>
      </c>
      <c r="M15" s="6">
        <v>1004</v>
      </c>
      <c r="N15" s="6">
        <v>2008</v>
      </c>
      <c r="O15" s="7">
        <v>0.05</v>
      </c>
      <c r="P15" s="8">
        <f t="shared" si="0"/>
        <v>100.4</v>
      </c>
      <c r="Q15" s="9">
        <f t="shared" si="1"/>
        <v>1907.6</v>
      </c>
      <c r="R15" s="5">
        <v>38</v>
      </c>
      <c r="S15" s="5" t="s">
        <v>2033</v>
      </c>
      <c r="T15" s="5" t="s">
        <v>2037</v>
      </c>
    </row>
    <row r="16" spans="1:20" x14ac:dyDescent="0.25">
      <c r="A16" s="5" t="s">
        <v>29</v>
      </c>
      <c r="B16" s="10">
        <v>45620</v>
      </c>
      <c r="C16" s="5" t="s">
        <v>1015</v>
      </c>
      <c r="D16" s="11" t="s">
        <v>1035</v>
      </c>
      <c r="E16" s="5" t="s">
        <v>2071</v>
      </c>
      <c r="F16" s="5">
        <v>19</v>
      </c>
      <c r="G16" s="5" t="str" cm="1">
        <f t="array" ref="G16">_xlfn.IFS(F16&lt;12,"Child",F16&lt;18,"Teen",F16&lt;25,"Young",F16&lt;40,"Adult",F16&lt;60,"Middle Age",F16&gt;=60,"Old")</f>
        <v>Young</v>
      </c>
      <c r="H16" s="5" t="s">
        <v>2043</v>
      </c>
      <c r="I16" s="5" t="s">
        <v>2050</v>
      </c>
      <c r="J16" s="5" t="s">
        <v>2018</v>
      </c>
      <c r="K16" s="5" t="str">
        <f>VLOOKUP(J16,Sheet2!$A$1:$B$11,2,FALSE)</f>
        <v>Sportswear</v>
      </c>
      <c r="L16" s="5">
        <v>5</v>
      </c>
      <c r="M16" s="6">
        <v>858</v>
      </c>
      <c r="N16" s="6">
        <v>4290</v>
      </c>
      <c r="O16" s="7">
        <v>0.15</v>
      </c>
      <c r="P16" s="8">
        <f t="shared" si="0"/>
        <v>643.5</v>
      </c>
      <c r="Q16" s="9">
        <f t="shared" si="1"/>
        <v>3646.5</v>
      </c>
      <c r="R16" s="5">
        <v>72</v>
      </c>
      <c r="S16" s="5" t="s">
        <v>2033</v>
      </c>
      <c r="T16" s="5" t="s">
        <v>2037</v>
      </c>
    </row>
    <row r="17" spans="1:20" x14ac:dyDescent="0.25">
      <c r="A17" s="5" t="s">
        <v>30</v>
      </c>
      <c r="B17" s="10">
        <v>45367</v>
      </c>
      <c r="C17" s="5" t="s">
        <v>1020</v>
      </c>
      <c r="D17" s="11" t="s">
        <v>1036</v>
      </c>
      <c r="E17" s="5" t="s">
        <v>2072</v>
      </c>
      <c r="F17" s="5">
        <v>23</v>
      </c>
      <c r="G17" s="5" t="str" cm="1">
        <f t="array" ref="G17">_xlfn.IFS(F17&lt;12,"Child",F17&lt;18,"Teen",F17&lt;25,"Young",F17&lt;40,"Adult",F17&lt;60,"Middle Age",F17&gt;=60,"Old")</f>
        <v>Young</v>
      </c>
      <c r="H17" s="5" t="s">
        <v>2043</v>
      </c>
      <c r="I17" s="5" t="s">
        <v>2049</v>
      </c>
      <c r="J17" s="5" t="s">
        <v>2019</v>
      </c>
      <c r="K17" s="5" t="str">
        <f>VLOOKUP(J17,Sheet2!$A$1:$B$11,2,FALSE)</f>
        <v>Formal Wear</v>
      </c>
      <c r="L17" s="5">
        <v>5</v>
      </c>
      <c r="M17" s="6">
        <v>894</v>
      </c>
      <c r="N17" s="6">
        <v>4470</v>
      </c>
      <c r="O17" s="7">
        <v>0.1</v>
      </c>
      <c r="P17" s="8">
        <f t="shared" si="0"/>
        <v>447</v>
      </c>
      <c r="Q17" s="9">
        <f t="shared" si="1"/>
        <v>4023</v>
      </c>
      <c r="R17" s="5">
        <v>80</v>
      </c>
      <c r="S17" s="5" t="s">
        <v>2032</v>
      </c>
      <c r="T17" s="5" t="s">
        <v>2037</v>
      </c>
    </row>
    <row r="18" spans="1:20" x14ac:dyDescent="0.25">
      <c r="A18" s="5" t="s">
        <v>31</v>
      </c>
      <c r="B18" s="10">
        <v>45651</v>
      </c>
      <c r="C18" s="5" t="s">
        <v>1017</v>
      </c>
      <c r="D18" s="11" t="s">
        <v>1037</v>
      </c>
      <c r="E18" s="5" t="s">
        <v>2073</v>
      </c>
      <c r="F18" s="5">
        <v>53</v>
      </c>
      <c r="G18" s="5" t="str" cm="1">
        <f t="array" ref="G18">_xlfn.IFS(F18&lt;12,"Child",F18&lt;18,"Teen",F18&lt;25,"Young",F18&lt;40,"Adult",F18&lt;60,"Middle Age",F18&gt;=60,"Old")</f>
        <v>Middle Age</v>
      </c>
      <c r="H18" s="5" t="s">
        <v>2043</v>
      </c>
      <c r="I18" s="5" t="s">
        <v>2046</v>
      </c>
      <c r="J18" s="5" t="s">
        <v>2023</v>
      </c>
      <c r="K18" s="5" t="str">
        <f>VLOOKUP(J18,Sheet2!$A$1:$B$11,2,FALSE)</f>
        <v>Formal Wear</v>
      </c>
      <c r="L18" s="5">
        <v>4</v>
      </c>
      <c r="M18" s="6">
        <v>1135</v>
      </c>
      <c r="N18" s="6">
        <v>4540</v>
      </c>
      <c r="O18" s="7">
        <v>0.15</v>
      </c>
      <c r="P18" s="8">
        <f t="shared" si="0"/>
        <v>681</v>
      </c>
      <c r="Q18" s="9">
        <f t="shared" si="1"/>
        <v>3859</v>
      </c>
      <c r="R18" s="5">
        <v>77</v>
      </c>
      <c r="S18" s="5" t="s">
        <v>2033</v>
      </c>
      <c r="T18" s="5" t="s">
        <v>2035</v>
      </c>
    </row>
    <row r="19" spans="1:20" x14ac:dyDescent="0.25">
      <c r="A19" s="5" t="s">
        <v>32</v>
      </c>
      <c r="B19" s="10">
        <v>45444</v>
      </c>
      <c r="C19" s="5" t="s">
        <v>1020</v>
      </c>
      <c r="D19" s="11" t="s">
        <v>1038</v>
      </c>
      <c r="E19" s="5" t="s">
        <v>2074</v>
      </c>
      <c r="F19" s="5">
        <v>43</v>
      </c>
      <c r="G19" s="5" t="str" cm="1">
        <f t="array" ref="G19">_xlfn.IFS(F19&lt;12,"Child",F19&lt;18,"Teen",F19&lt;25,"Young",F19&lt;40,"Adult",F19&lt;60,"Middle Age",F19&gt;=60,"Old")</f>
        <v>Middle Age</v>
      </c>
      <c r="H19" s="5" t="s">
        <v>2043</v>
      </c>
      <c r="I19" s="5" t="s">
        <v>2046</v>
      </c>
      <c r="J19" s="5" t="s">
        <v>2017</v>
      </c>
      <c r="K19" s="5" t="str">
        <f>VLOOKUP(J19,Sheet2!$A$1:$B$11,2,FALSE)</f>
        <v>Casual Wear</v>
      </c>
      <c r="L19" s="5">
        <v>2</v>
      </c>
      <c r="M19" s="6">
        <v>568</v>
      </c>
      <c r="N19" s="6">
        <v>1136</v>
      </c>
      <c r="O19" s="7">
        <v>0</v>
      </c>
      <c r="P19" s="8">
        <f t="shared" si="0"/>
        <v>0</v>
      </c>
      <c r="Q19" s="9">
        <f t="shared" si="1"/>
        <v>1136</v>
      </c>
      <c r="R19" s="5">
        <v>22</v>
      </c>
      <c r="S19" s="5" t="s">
        <v>2033</v>
      </c>
      <c r="T19" s="5" t="s">
        <v>2036</v>
      </c>
    </row>
    <row r="20" spans="1:20" x14ac:dyDescent="0.25">
      <c r="A20" s="5" t="s">
        <v>33</v>
      </c>
      <c r="B20" s="10">
        <v>45658</v>
      </c>
      <c r="C20" s="5" t="s">
        <v>1017</v>
      </c>
      <c r="D20" s="11" t="s">
        <v>1039</v>
      </c>
      <c r="E20" s="5" t="s">
        <v>2075</v>
      </c>
      <c r="F20" s="5">
        <v>49</v>
      </c>
      <c r="G20" s="5" t="str" cm="1">
        <f t="array" ref="G20">_xlfn.IFS(F20&lt;12,"Child",F20&lt;18,"Teen",F20&lt;25,"Young",F20&lt;40,"Adult",F20&lt;60,"Middle Age",F20&gt;=60,"Old")</f>
        <v>Middle Age</v>
      </c>
      <c r="H20" s="5" t="s">
        <v>2044</v>
      </c>
      <c r="I20" s="5" t="s">
        <v>2051</v>
      </c>
      <c r="J20" s="5" t="s">
        <v>2017</v>
      </c>
      <c r="K20" s="5" t="str">
        <f>VLOOKUP(J20,Sheet2!$A$1:$B$11,2,FALSE)</f>
        <v>Casual Wear</v>
      </c>
      <c r="L20" s="5">
        <v>1</v>
      </c>
      <c r="M20" s="6">
        <v>1003</v>
      </c>
      <c r="N20" s="6">
        <v>1003</v>
      </c>
      <c r="O20" s="7">
        <v>0.15</v>
      </c>
      <c r="P20" s="8">
        <f t="shared" si="0"/>
        <v>150.44999999999999</v>
      </c>
      <c r="Q20" s="9">
        <f t="shared" si="1"/>
        <v>852.55</v>
      </c>
      <c r="R20" s="5">
        <v>17</v>
      </c>
      <c r="S20" s="5" t="s">
        <v>2032</v>
      </c>
      <c r="T20" s="5" t="s">
        <v>2036</v>
      </c>
    </row>
    <row r="21" spans="1:20" x14ac:dyDescent="0.25">
      <c r="A21" s="5" t="s">
        <v>34</v>
      </c>
      <c r="B21" s="10">
        <v>45700</v>
      </c>
      <c r="C21" s="5" t="s">
        <v>1017</v>
      </c>
      <c r="D21" s="11" t="s">
        <v>1040</v>
      </c>
      <c r="E21" s="5" t="s">
        <v>2076</v>
      </c>
      <c r="F21" s="5">
        <v>39</v>
      </c>
      <c r="G21" s="5" t="str" cm="1">
        <f t="array" ref="G21">_xlfn.IFS(F21&lt;12,"Child",F21&lt;18,"Teen",F21&lt;25,"Young",F21&lt;40,"Adult",F21&lt;60,"Middle Age",F21&gt;=60,"Old")</f>
        <v>Adult</v>
      </c>
      <c r="H21" s="5" t="s">
        <v>2043</v>
      </c>
      <c r="I21" s="5" t="s">
        <v>2050</v>
      </c>
      <c r="J21" s="5" t="s">
        <v>2016</v>
      </c>
      <c r="K21" s="5" t="str">
        <f>VLOOKUP(J21,Sheet2!$A$1:$B$11,2,FALSE)</f>
        <v>Winter Wear</v>
      </c>
      <c r="L21" s="5">
        <v>2</v>
      </c>
      <c r="M21" s="6">
        <v>1105</v>
      </c>
      <c r="N21" s="6">
        <v>2210</v>
      </c>
      <c r="O21" s="7">
        <v>0.05</v>
      </c>
      <c r="P21" s="8">
        <f t="shared" si="0"/>
        <v>110.5</v>
      </c>
      <c r="Q21" s="9">
        <f t="shared" si="1"/>
        <v>2099.5</v>
      </c>
      <c r="R21" s="5">
        <v>41</v>
      </c>
      <c r="S21" s="5" t="s">
        <v>2032</v>
      </c>
      <c r="T21" s="5" t="s">
        <v>2037</v>
      </c>
    </row>
    <row r="22" spans="1:20" x14ac:dyDescent="0.25">
      <c r="A22" s="5" t="s">
        <v>35</v>
      </c>
      <c r="B22" s="10">
        <v>45438</v>
      </c>
      <c r="C22" s="5" t="s">
        <v>1015</v>
      </c>
      <c r="D22" s="11" t="s">
        <v>1041</v>
      </c>
      <c r="E22" s="5" t="s">
        <v>2077</v>
      </c>
      <c r="F22" s="5">
        <v>43</v>
      </c>
      <c r="G22" s="5" t="str" cm="1">
        <f t="array" ref="G22">_xlfn.IFS(F22&lt;12,"Child",F22&lt;18,"Teen",F22&lt;25,"Young",F22&lt;40,"Adult",F22&lt;60,"Middle Age",F22&gt;=60,"Old")</f>
        <v>Middle Age</v>
      </c>
      <c r="H22" s="5" t="s">
        <v>2043</v>
      </c>
      <c r="I22" s="5" t="s">
        <v>2049</v>
      </c>
      <c r="J22" s="5" t="s">
        <v>2025</v>
      </c>
      <c r="K22" s="5" t="str">
        <f>VLOOKUP(J22,Sheet2!$A$1:$B$11,2,FALSE)</f>
        <v>Formal Wear</v>
      </c>
      <c r="L22" s="5">
        <v>1</v>
      </c>
      <c r="M22" s="6">
        <v>730</v>
      </c>
      <c r="N22" s="6">
        <v>730</v>
      </c>
      <c r="O22" s="7">
        <v>0.05</v>
      </c>
      <c r="P22" s="8">
        <f t="shared" si="0"/>
        <v>36.5</v>
      </c>
      <c r="Q22" s="9">
        <f t="shared" si="1"/>
        <v>693.5</v>
      </c>
      <c r="R22" s="5">
        <v>13</v>
      </c>
      <c r="S22" s="5" t="s">
        <v>2034</v>
      </c>
      <c r="T22" s="5" t="s">
        <v>2037</v>
      </c>
    </row>
    <row r="23" spans="1:20" x14ac:dyDescent="0.25">
      <c r="A23" s="5" t="s">
        <v>36</v>
      </c>
      <c r="B23" s="10">
        <v>45559</v>
      </c>
      <c r="C23" s="5" t="s">
        <v>1019</v>
      </c>
      <c r="D23" s="11" t="s">
        <v>1042</v>
      </c>
      <c r="E23" s="5" t="s">
        <v>2078</v>
      </c>
      <c r="F23" s="5">
        <v>27</v>
      </c>
      <c r="G23" s="5" t="str" cm="1">
        <f t="array" ref="G23">_xlfn.IFS(F23&lt;12,"Child",F23&lt;18,"Teen",F23&lt;25,"Young",F23&lt;40,"Adult",F23&lt;60,"Middle Age",F23&gt;=60,"Old")</f>
        <v>Adult</v>
      </c>
      <c r="H23" s="5" t="s">
        <v>2043</v>
      </c>
      <c r="I23" s="5" t="s">
        <v>2052</v>
      </c>
      <c r="J23" s="5" t="s">
        <v>2025</v>
      </c>
      <c r="K23" s="5" t="str">
        <f>VLOOKUP(J23,Sheet2!$A$1:$B$11,2,FALSE)</f>
        <v>Formal Wear</v>
      </c>
      <c r="L23" s="5">
        <v>3</v>
      </c>
      <c r="M23" s="6">
        <v>581</v>
      </c>
      <c r="N23" s="6">
        <v>1743</v>
      </c>
      <c r="O23" s="7">
        <v>0</v>
      </c>
      <c r="P23" s="8">
        <f t="shared" si="0"/>
        <v>0</v>
      </c>
      <c r="Q23" s="9">
        <f t="shared" si="1"/>
        <v>1743</v>
      </c>
      <c r="R23" s="5">
        <v>34</v>
      </c>
      <c r="S23" s="5" t="s">
        <v>2032</v>
      </c>
      <c r="T23" s="5" t="s">
        <v>2036</v>
      </c>
    </row>
    <row r="24" spans="1:20" x14ac:dyDescent="0.25">
      <c r="A24" s="5" t="s">
        <v>37</v>
      </c>
      <c r="B24" s="10">
        <v>45645</v>
      </c>
      <c r="C24" s="5" t="s">
        <v>1018</v>
      </c>
      <c r="D24" s="11" t="s">
        <v>1043</v>
      </c>
      <c r="E24" s="5" t="s">
        <v>2079</v>
      </c>
      <c r="F24" s="5">
        <v>51</v>
      </c>
      <c r="G24" s="5" t="str" cm="1">
        <f t="array" ref="G24">_xlfn.IFS(F24&lt;12,"Child",F24&lt;18,"Teen",F24&lt;25,"Young",F24&lt;40,"Adult",F24&lt;60,"Middle Age",F24&gt;=60,"Old")</f>
        <v>Middle Age</v>
      </c>
      <c r="H24" s="5" t="s">
        <v>2043</v>
      </c>
      <c r="I24" s="5" t="s">
        <v>2053</v>
      </c>
      <c r="J24" s="5" t="s">
        <v>2021</v>
      </c>
      <c r="K24" s="5" t="str">
        <f>VLOOKUP(J24,Sheet2!$A$1:$B$11,2,FALSE)</f>
        <v>Casual Wear</v>
      </c>
      <c r="L24" s="5">
        <v>1</v>
      </c>
      <c r="M24" s="6">
        <v>1072</v>
      </c>
      <c r="N24" s="6">
        <v>1072</v>
      </c>
      <c r="O24" s="7">
        <v>0</v>
      </c>
      <c r="P24" s="8">
        <f t="shared" si="0"/>
        <v>0</v>
      </c>
      <c r="Q24" s="9">
        <f t="shared" si="1"/>
        <v>1072</v>
      </c>
      <c r="R24" s="5">
        <v>21</v>
      </c>
      <c r="S24" s="5" t="s">
        <v>2034</v>
      </c>
      <c r="T24" s="5" t="s">
        <v>2035</v>
      </c>
    </row>
    <row r="25" spans="1:20" x14ac:dyDescent="0.25">
      <c r="A25" s="5" t="s">
        <v>38</v>
      </c>
      <c r="B25" s="10">
        <v>45473</v>
      </c>
      <c r="C25" s="5" t="s">
        <v>1015</v>
      </c>
      <c r="D25" s="11" t="s">
        <v>1044</v>
      </c>
      <c r="E25" s="5" t="s">
        <v>2080</v>
      </c>
      <c r="F25" s="5">
        <v>28</v>
      </c>
      <c r="G25" s="5" t="str" cm="1">
        <f t="array" ref="G25">_xlfn.IFS(F25&lt;12,"Child",F25&lt;18,"Teen",F25&lt;25,"Young",F25&lt;40,"Adult",F25&lt;60,"Middle Age",F25&gt;=60,"Old")</f>
        <v>Adult</v>
      </c>
      <c r="H25" s="5" t="s">
        <v>2043</v>
      </c>
      <c r="I25" s="5" t="s">
        <v>2047</v>
      </c>
      <c r="J25" s="5" t="s">
        <v>2021</v>
      </c>
      <c r="K25" s="5" t="str">
        <f>VLOOKUP(J25,Sheet2!$A$1:$B$11,2,FALSE)</f>
        <v>Casual Wear</v>
      </c>
      <c r="L25" s="5">
        <v>1</v>
      </c>
      <c r="M25" s="6">
        <v>352</v>
      </c>
      <c r="N25" s="6">
        <v>352</v>
      </c>
      <c r="O25" s="7">
        <v>0.15</v>
      </c>
      <c r="P25" s="8">
        <f t="shared" si="0"/>
        <v>52.8</v>
      </c>
      <c r="Q25" s="9">
        <f t="shared" si="1"/>
        <v>299.2</v>
      </c>
      <c r="R25" s="5">
        <v>5</v>
      </c>
      <c r="S25" s="5" t="s">
        <v>2032</v>
      </c>
      <c r="T25" s="5" t="s">
        <v>2036</v>
      </c>
    </row>
    <row r="26" spans="1:20" x14ac:dyDescent="0.25">
      <c r="A26" s="5" t="s">
        <v>39</v>
      </c>
      <c r="B26" s="10">
        <v>45467</v>
      </c>
      <c r="C26" s="5" t="s">
        <v>1016</v>
      </c>
      <c r="D26" s="11" t="s">
        <v>1045</v>
      </c>
      <c r="E26" s="5" t="s">
        <v>2081</v>
      </c>
      <c r="F26" s="5">
        <v>55</v>
      </c>
      <c r="G26" s="5" t="str" cm="1">
        <f t="array" ref="G26">_xlfn.IFS(F26&lt;12,"Child",F26&lt;18,"Teen",F26&lt;25,"Young",F26&lt;40,"Adult",F26&lt;60,"Middle Age",F26&gt;=60,"Old")</f>
        <v>Middle Age</v>
      </c>
      <c r="H26" s="5" t="s">
        <v>2043</v>
      </c>
      <c r="I26" s="5" t="s">
        <v>2046</v>
      </c>
      <c r="J26" s="5" t="s">
        <v>2025</v>
      </c>
      <c r="K26" s="5" t="str">
        <f>VLOOKUP(J26,Sheet2!$A$1:$B$11,2,FALSE)</f>
        <v>Formal Wear</v>
      </c>
      <c r="L26" s="5">
        <v>4</v>
      </c>
      <c r="M26" s="6">
        <v>1087</v>
      </c>
      <c r="N26" s="6">
        <v>4348</v>
      </c>
      <c r="O26" s="7">
        <v>0</v>
      </c>
      <c r="P26" s="8">
        <f t="shared" si="0"/>
        <v>0</v>
      </c>
      <c r="Q26" s="9">
        <f t="shared" si="1"/>
        <v>4348</v>
      </c>
      <c r="R26" s="5">
        <v>86</v>
      </c>
      <c r="S26" s="5" t="s">
        <v>2034</v>
      </c>
      <c r="T26" s="5" t="s">
        <v>2037</v>
      </c>
    </row>
    <row r="27" spans="1:20" x14ac:dyDescent="0.25">
      <c r="A27" s="5" t="s">
        <v>40</v>
      </c>
      <c r="B27" s="10">
        <v>45621</v>
      </c>
      <c r="C27" s="5" t="s">
        <v>1016</v>
      </c>
      <c r="D27" s="11" t="s">
        <v>1046</v>
      </c>
      <c r="E27" s="5" t="s">
        <v>2082</v>
      </c>
      <c r="F27" s="5">
        <v>38</v>
      </c>
      <c r="G27" s="5" t="str" cm="1">
        <f t="array" ref="G27">_xlfn.IFS(F27&lt;12,"Child",F27&lt;18,"Teen",F27&lt;25,"Young",F27&lt;40,"Adult",F27&lt;60,"Middle Age",F27&gt;=60,"Old")</f>
        <v>Adult</v>
      </c>
      <c r="H27" s="5" t="s">
        <v>2044</v>
      </c>
      <c r="I27" s="5" t="s">
        <v>2050</v>
      </c>
      <c r="J27" s="5" t="s">
        <v>2016</v>
      </c>
      <c r="K27" s="5" t="str">
        <f>VLOOKUP(J27,Sheet2!$A$1:$B$11,2,FALSE)</f>
        <v>Winter Wear</v>
      </c>
      <c r="L27" s="5">
        <v>4</v>
      </c>
      <c r="M27" s="6">
        <v>1139</v>
      </c>
      <c r="N27" s="6">
        <v>4556</v>
      </c>
      <c r="O27" s="7">
        <v>0.05</v>
      </c>
      <c r="P27" s="8">
        <f t="shared" si="0"/>
        <v>227.8</v>
      </c>
      <c r="Q27" s="9">
        <f t="shared" si="1"/>
        <v>4328.2</v>
      </c>
      <c r="R27" s="5">
        <v>86</v>
      </c>
      <c r="S27" s="5" t="s">
        <v>2034</v>
      </c>
      <c r="T27" s="5" t="s">
        <v>2035</v>
      </c>
    </row>
    <row r="28" spans="1:20" x14ac:dyDescent="0.25">
      <c r="A28" s="5" t="s">
        <v>41</v>
      </c>
      <c r="B28" s="10">
        <v>45495</v>
      </c>
      <c r="C28" s="5" t="s">
        <v>1016</v>
      </c>
      <c r="D28" s="11" t="s">
        <v>1047</v>
      </c>
      <c r="E28" s="5" t="s">
        <v>2083</v>
      </c>
      <c r="F28" s="5">
        <v>18</v>
      </c>
      <c r="G28" s="5" t="str" cm="1">
        <f t="array" ref="G28">_xlfn.IFS(F28&lt;12,"Child",F28&lt;18,"Teen",F28&lt;25,"Young",F28&lt;40,"Adult",F28&lt;60,"Middle Age",F28&gt;=60,"Old")</f>
        <v>Young</v>
      </c>
      <c r="H28" s="5" t="s">
        <v>2043</v>
      </c>
      <c r="I28" s="5" t="s">
        <v>2046</v>
      </c>
      <c r="J28" s="5" t="s">
        <v>2016</v>
      </c>
      <c r="K28" s="5" t="str">
        <f>VLOOKUP(J28,Sheet2!$A$1:$B$11,2,FALSE)</f>
        <v>Winter Wear</v>
      </c>
      <c r="L28" s="5">
        <v>2</v>
      </c>
      <c r="M28" s="6">
        <v>1158</v>
      </c>
      <c r="N28" s="6">
        <v>2316</v>
      </c>
      <c r="O28" s="7">
        <v>0.05</v>
      </c>
      <c r="P28" s="8">
        <f t="shared" si="0"/>
        <v>115.80000000000001</v>
      </c>
      <c r="Q28" s="9">
        <f t="shared" si="1"/>
        <v>2200.1999999999998</v>
      </c>
      <c r="R28" s="5">
        <v>44</v>
      </c>
      <c r="S28" s="5" t="s">
        <v>2034</v>
      </c>
      <c r="T28" s="5" t="s">
        <v>2036</v>
      </c>
    </row>
    <row r="29" spans="1:20" x14ac:dyDescent="0.25">
      <c r="A29" s="5" t="s">
        <v>42</v>
      </c>
      <c r="B29" s="10">
        <v>45640</v>
      </c>
      <c r="C29" s="5" t="s">
        <v>1020</v>
      </c>
      <c r="D29" s="11" t="s">
        <v>1048</v>
      </c>
      <c r="E29" s="5" t="s">
        <v>2084</v>
      </c>
      <c r="F29" s="5">
        <v>37</v>
      </c>
      <c r="G29" s="5" t="str" cm="1">
        <f t="array" ref="G29">_xlfn.IFS(F29&lt;12,"Child",F29&lt;18,"Teen",F29&lt;25,"Young",F29&lt;40,"Adult",F29&lt;60,"Middle Age",F29&gt;=60,"Old")</f>
        <v>Adult</v>
      </c>
      <c r="H29" s="5" t="s">
        <v>2044</v>
      </c>
      <c r="I29" s="5" t="s">
        <v>2050</v>
      </c>
      <c r="J29" s="5" t="s">
        <v>2021</v>
      </c>
      <c r="K29" s="5" t="str">
        <f>VLOOKUP(J29,Sheet2!$A$1:$B$11,2,FALSE)</f>
        <v>Casual Wear</v>
      </c>
      <c r="L29" s="5">
        <v>1</v>
      </c>
      <c r="M29" s="6">
        <v>1083</v>
      </c>
      <c r="N29" s="6">
        <v>1083</v>
      </c>
      <c r="O29" s="7">
        <v>0.05</v>
      </c>
      <c r="P29" s="8">
        <f t="shared" si="0"/>
        <v>54.150000000000006</v>
      </c>
      <c r="Q29" s="9">
        <f t="shared" si="1"/>
        <v>1028.8499999999999</v>
      </c>
      <c r="R29" s="5">
        <v>20</v>
      </c>
      <c r="S29" s="5" t="s">
        <v>2034</v>
      </c>
      <c r="T29" s="5" t="s">
        <v>2036</v>
      </c>
    </row>
    <row r="30" spans="1:20" x14ac:dyDescent="0.25">
      <c r="A30" s="5" t="s">
        <v>43</v>
      </c>
      <c r="B30" s="10">
        <v>45672</v>
      </c>
      <c r="C30" s="5" t="s">
        <v>1017</v>
      </c>
      <c r="D30" s="11" t="s">
        <v>1049</v>
      </c>
      <c r="E30" s="5" t="s">
        <v>2085</v>
      </c>
      <c r="F30" s="5">
        <v>30</v>
      </c>
      <c r="G30" s="5" t="str" cm="1">
        <f t="array" ref="G30">_xlfn.IFS(F30&lt;12,"Child",F30&lt;18,"Teen",F30&lt;25,"Young",F30&lt;40,"Adult",F30&lt;60,"Middle Age",F30&gt;=60,"Old")</f>
        <v>Adult</v>
      </c>
      <c r="H30" s="5" t="s">
        <v>2044</v>
      </c>
      <c r="I30" s="5" t="s">
        <v>2053</v>
      </c>
      <c r="J30" s="5" t="s">
        <v>2017</v>
      </c>
      <c r="K30" s="5" t="str">
        <f>VLOOKUP(J30,Sheet2!$A$1:$B$11,2,FALSE)</f>
        <v>Casual Wear</v>
      </c>
      <c r="L30" s="5">
        <v>3</v>
      </c>
      <c r="M30" s="6">
        <v>957</v>
      </c>
      <c r="N30" s="6">
        <v>2871</v>
      </c>
      <c r="O30" s="7">
        <v>0.2</v>
      </c>
      <c r="P30" s="8">
        <f t="shared" si="0"/>
        <v>574.20000000000005</v>
      </c>
      <c r="Q30" s="9">
        <f t="shared" si="1"/>
        <v>2296.8000000000002</v>
      </c>
      <c r="R30" s="5">
        <v>45</v>
      </c>
      <c r="S30" s="5" t="s">
        <v>2033</v>
      </c>
      <c r="T30" s="5" t="s">
        <v>2036</v>
      </c>
    </row>
    <row r="31" spans="1:20" x14ac:dyDescent="0.25">
      <c r="A31" s="5" t="s">
        <v>44</v>
      </c>
      <c r="B31" s="10">
        <v>45536</v>
      </c>
      <c r="C31" s="5" t="s">
        <v>1015</v>
      </c>
      <c r="D31" s="11" t="s">
        <v>1050</v>
      </c>
      <c r="E31" s="5" t="s">
        <v>2086</v>
      </c>
      <c r="F31" s="5">
        <v>29</v>
      </c>
      <c r="G31" s="5" t="str" cm="1">
        <f t="array" ref="G31">_xlfn.IFS(F31&lt;12,"Child",F31&lt;18,"Teen",F31&lt;25,"Young",F31&lt;40,"Adult",F31&lt;60,"Middle Age",F31&gt;=60,"Old")</f>
        <v>Adult</v>
      </c>
      <c r="H31" s="5" t="s">
        <v>2043</v>
      </c>
      <c r="I31" s="5" t="s">
        <v>2045</v>
      </c>
      <c r="J31" s="5" t="s">
        <v>2016</v>
      </c>
      <c r="K31" s="5" t="str">
        <f>VLOOKUP(J31,Sheet2!$A$1:$B$11,2,FALSE)</f>
        <v>Winter Wear</v>
      </c>
      <c r="L31" s="5">
        <v>3</v>
      </c>
      <c r="M31" s="6">
        <v>1124</v>
      </c>
      <c r="N31" s="6">
        <v>3372</v>
      </c>
      <c r="O31" s="7">
        <v>0.2</v>
      </c>
      <c r="P31" s="8">
        <f t="shared" si="0"/>
        <v>674.40000000000009</v>
      </c>
      <c r="Q31" s="9">
        <f t="shared" si="1"/>
        <v>2697.6</v>
      </c>
      <c r="R31" s="5">
        <v>53</v>
      </c>
      <c r="S31" s="5" t="s">
        <v>2032</v>
      </c>
      <c r="T31" s="5" t="s">
        <v>2036</v>
      </c>
    </row>
    <row r="32" spans="1:20" x14ac:dyDescent="0.25">
      <c r="A32" s="5" t="s">
        <v>45</v>
      </c>
      <c r="B32" s="10">
        <v>45570</v>
      </c>
      <c r="C32" s="5" t="s">
        <v>1020</v>
      </c>
      <c r="D32" s="11" t="s">
        <v>1051</v>
      </c>
      <c r="E32" s="5" t="s">
        <v>2087</v>
      </c>
      <c r="F32" s="5">
        <v>53</v>
      </c>
      <c r="G32" s="5" t="str" cm="1">
        <f t="array" ref="G32">_xlfn.IFS(F32&lt;12,"Child",F32&lt;18,"Teen",F32&lt;25,"Young",F32&lt;40,"Adult",F32&lt;60,"Middle Age",F32&gt;=60,"Old")</f>
        <v>Middle Age</v>
      </c>
      <c r="H32" s="5" t="s">
        <v>2044</v>
      </c>
      <c r="I32" s="5" t="s">
        <v>2015</v>
      </c>
      <c r="J32" s="5" t="s">
        <v>2016</v>
      </c>
      <c r="K32" s="5" t="str">
        <f>VLOOKUP(J32,Sheet2!$A$1:$B$11,2,FALSE)</f>
        <v>Winter Wear</v>
      </c>
      <c r="L32" s="5">
        <v>5</v>
      </c>
      <c r="M32" s="6">
        <v>167</v>
      </c>
      <c r="N32" s="6">
        <v>835</v>
      </c>
      <c r="O32" s="7">
        <v>0.1</v>
      </c>
      <c r="P32" s="8">
        <f t="shared" si="0"/>
        <v>83.5</v>
      </c>
      <c r="Q32" s="9">
        <f t="shared" si="1"/>
        <v>751.5</v>
      </c>
      <c r="R32" s="5">
        <v>15</v>
      </c>
      <c r="S32" s="5" t="s">
        <v>2034</v>
      </c>
      <c r="T32" s="5" t="s">
        <v>2037</v>
      </c>
    </row>
    <row r="33" spans="1:20" x14ac:dyDescent="0.25">
      <c r="A33" s="5" t="s">
        <v>46</v>
      </c>
      <c r="B33" s="10">
        <v>45469</v>
      </c>
      <c r="C33" s="5" t="s">
        <v>1017</v>
      </c>
      <c r="D33" s="11" t="s">
        <v>1052</v>
      </c>
      <c r="E33" s="5" t="s">
        <v>2088</v>
      </c>
      <c r="F33" s="5">
        <v>23</v>
      </c>
      <c r="G33" s="5" t="str" cm="1">
        <f t="array" ref="G33">_xlfn.IFS(F33&lt;12,"Child",F33&lt;18,"Teen",F33&lt;25,"Young",F33&lt;40,"Adult",F33&lt;60,"Middle Age",F33&gt;=60,"Old")</f>
        <v>Young</v>
      </c>
      <c r="H33" s="5" t="s">
        <v>2043</v>
      </c>
      <c r="I33" s="5" t="s">
        <v>2015</v>
      </c>
      <c r="J33" s="5" t="s">
        <v>2021</v>
      </c>
      <c r="K33" s="5" t="str">
        <f>VLOOKUP(J33,Sheet2!$A$1:$B$11,2,FALSE)</f>
        <v>Casual Wear</v>
      </c>
      <c r="L33" s="5">
        <v>1</v>
      </c>
      <c r="M33" s="6">
        <v>303</v>
      </c>
      <c r="N33" s="6">
        <v>303</v>
      </c>
      <c r="O33" s="7">
        <v>0.1</v>
      </c>
      <c r="P33" s="8">
        <f t="shared" si="0"/>
        <v>30.3</v>
      </c>
      <c r="Q33" s="9">
        <f t="shared" si="1"/>
        <v>272.7</v>
      </c>
      <c r="R33" s="5">
        <v>5</v>
      </c>
      <c r="S33" s="5" t="s">
        <v>2032</v>
      </c>
      <c r="T33" s="5" t="s">
        <v>2037</v>
      </c>
    </row>
    <row r="34" spans="1:20" x14ac:dyDescent="0.25">
      <c r="A34" s="5" t="s">
        <v>47</v>
      </c>
      <c r="B34" s="10">
        <v>45620</v>
      </c>
      <c r="C34" s="5" t="s">
        <v>1015</v>
      </c>
      <c r="D34" s="11" t="s">
        <v>1053</v>
      </c>
      <c r="E34" s="5" t="s">
        <v>2089</v>
      </c>
      <c r="F34" s="5">
        <v>49</v>
      </c>
      <c r="G34" s="5" t="str" cm="1">
        <f t="array" ref="G34">_xlfn.IFS(F34&lt;12,"Child",F34&lt;18,"Teen",F34&lt;25,"Young",F34&lt;40,"Adult",F34&lt;60,"Middle Age",F34&gt;=60,"Old")</f>
        <v>Middle Age</v>
      </c>
      <c r="H34" s="5" t="s">
        <v>2044</v>
      </c>
      <c r="I34" s="5" t="s">
        <v>2047</v>
      </c>
      <c r="J34" s="5" t="s">
        <v>2018</v>
      </c>
      <c r="K34" s="5" t="str">
        <f>VLOOKUP(J34,Sheet2!$A$1:$B$11,2,FALSE)</f>
        <v>Sportswear</v>
      </c>
      <c r="L34" s="5">
        <v>3</v>
      </c>
      <c r="M34" s="6">
        <v>850</v>
      </c>
      <c r="N34" s="6">
        <v>2550</v>
      </c>
      <c r="O34" s="7">
        <v>0.05</v>
      </c>
      <c r="P34" s="8">
        <f t="shared" si="0"/>
        <v>127.5</v>
      </c>
      <c r="Q34" s="9">
        <f t="shared" si="1"/>
        <v>2422.5</v>
      </c>
      <c r="R34" s="5">
        <v>48</v>
      </c>
      <c r="S34" s="5" t="s">
        <v>2032</v>
      </c>
      <c r="T34" s="5" t="s">
        <v>2035</v>
      </c>
    </row>
    <row r="35" spans="1:20" x14ac:dyDescent="0.25">
      <c r="A35" s="5" t="s">
        <v>48</v>
      </c>
      <c r="B35" s="10">
        <v>45698</v>
      </c>
      <c r="C35" s="5" t="s">
        <v>1016</v>
      </c>
      <c r="D35" s="11" t="s">
        <v>1054</v>
      </c>
      <c r="E35" s="5" t="s">
        <v>2090</v>
      </c>
      <c r="F35" s="5">
        <v>49</v>
      </c>
      <c r="G35" s="5" t="str" cm="1">
        <f t="array" ref="G35">_xlfn.IFS(F35&lt;12,"Child",F35&lt;18,"Teen",F35&lt;25,"Young",F35&lt;40,"Adult",F35&lt;60,"Middle Age",F35&gt;=60,"Old")</f>
        <v>Middle Age</v>
      </c>
      <c r="H35" s="5" t="s">
        <v>2043</v>
      </c>
      <c r="I35" s="5" t="s">
        <v>2051</v>
      </c>
      <c r="J35" s="5" t="s">
        <v>2023</v>
      </c>
      <c r="K35" s="5" t="str">
        <f>VLOOKUP(J35,Sheet2!$A$1:$B$11,2,FALSE)</f>
        <v>Formal Wear</v>
      </c>
      <c r="L35" s="5">
        <v>1</v>
      </c>
      <c r="M35" s="6">
        <v>786</v>
      </c>
      <c r="N35" s="6">
        <v>786</v>
      </c>
      <c r="O35" s="7">
        <v>0.15</v>
      </c>
      <c r="P35" s="8">
        <f t="shared" si="0"/>
        <v>117.89999999999999</v>
      </c>
      <c r="Q35" s="9">
        <f t="shared" si="1"/>
        <v>668.1</v>
      </c>
      <c r="R35" s="5">
        <v>13</v>
      </c>
      <c r="S35" s="5" t="s">
        <v>2032</v>
      </c>
      <c r="T35" s="5" t="s">
        <v>2036</v>
      </c>
    </row>
    <row r="36" spans="1:20" x14ac:dyDescent="0.25">
      <c r="A36" s="5" t="s">
        <v>49</v>
      </c>
      <c r="B36" s="10">
        <v>45579</v>
      </c>
      <c r="C36" s="5" t="s">
        <v>1016</v>
      </c>
      <c r="D36" s="11" t="s">
        <v>1055</v>
      </c>
      <c r="E36" s="5" t="s">
        <v>2091</v>
      </c>
      <c r="F36" s="5">
        <v>60</v>
      </c>
      <c r="G36" s="5" t="str" cm="1">
        <f t="array" ref="G36">_xlfn.IFS(F36&lt;12,"Child",F36&lt;18,"Teen",F36&lt;25,"Young",F36&lt;40,"Adult",F36&lt;60,"Middle Age",F36&gt;=60,"Old")</f>
        <v>Old</v>
      </c>
      <c r="H36" s="5" t="s">
        <v>2043</v>
      </c>
      <c r="I36" s="5" t="s">
        <v>2047</v>
      </c>
      <c r="J36" s="5" t="s">
        <v>2021</v>
      </c>
      <c r="K36" s="5" t="str">
        <f>VLOOKUP(J36,Sheet2!$A$1:$B$11,2,FALSE)</f>
        <v>Casual Wear</v>
      </c>
      <c r="L36" s="5">
        <v>4</v>
      </c>
      <c r="M36" s="6">
        <v>533</v>
      </c>
      <c r="N36" s="6">
        <v>2132</v>
      </c>
      <c r="O36" s="7">
        <v>0.15</v>
      </c>
      <c r="P36" s="8">
        <f t="shared" si="0"/>
        <v>319.8</v>
      </c>
      <c r="Q36" s="9">
        <f t="shared" si="1"/>
        <v>1812.2</v>
      </c>
      <c r="R36" s="5">
        <v>36</v>
      </c>
      <c r="S36" s="5" t="s">
        <v>2032</v>
      </c>
      <c r="T36" s="5" t="s">
        <v>2035</v>
      </c>
    </row>
    <row r="37" spans="1:20" x14ac:dyDescent="0.25">
      <c r="A37" s="5" t="s">
        <v>50</v>
      </c>
      <c r="B37" s="10">
        <v>45363</v>
      </c>
      <c r="C37" s="5" t="s">
        <v>1019</v>
      </c>
      <c r="D37" s="11" t="s">
        <v>1056</v>
      </c>
      <c r="E37" s="5" t="s">
        <v>2092</v>
      </c>
      <c r="F37" s="5">
        <v>44</v>
      </c>
      <c r="G37" s="5" t="str" cm="1">
        <f t="array" ref="G37">_xlfn.IFS(F37&lt;12,"Child",F37&lt;18,"Teen",F37&lt;25,"Young",F37&lt;40,"Adult",F37&lt;60,"Middle Age",F37&gt;=60,"Old")</f>
        <v>Middle Age</v>
      </c>
      <c r="H37" s="5" t="s">
        <v>2044</v>
      </c>
      <c r="I37" s="5" t="s">
        <v>2050</v>
      </c>
      <c r="J37" s="5" t="s">
        <v>2018</v>
      </c>
      <c r="K37" s="5" t="str">
        <f>VLOOKUP(J37,Sheet2!$A$1:$B$11,2,FALSE)</f>
        <v>Sportswear</v>
      </c>
      <c r="L37" s="5">
        <v>1</v>
      </c>
      <c r="M37" s="6">
        <v>1130</v>
      </c>
      <c r="N37" s="6">
        <v>1130</v>
      </c>
      <c r="O37" s="7">
        <v>0</v>
      </c>
      <c r="P37" s="8">
        <f t="shared" si="0"/>
        <v>0</v>
      </c>
      <c r="Q37" s="9">
        <f t="shared" si="1"/>
        <v>1130</v>
      </c>
      <c r="R37" s="5">
        <v>22</v>
      </c>
      <c r="S37" s="5" t="s">
        <v>2033</v>
      </c>
      <c r="T37" s="5" t="s">
        <v>2035</v>
      </c>
    </row>
    <row r="38" spans="1:20" x14ac:dyDescent="0.25">
      <c r="A38" s="5" t="s">
        <v>51</v>
      </c>
      <c r="B38" s="10">
        <v>45553</v>
      </c>
      <c r="C38" s="5" t="s">
        <v>1017</v>
      </c>
      <c r="D38" s="11" t="s">
        <v>1057</v>
      </c>
      <c r="E38" s="5" t="s">
        <v>2093</v>
      </c>
      <c r="F38" s="5">
        <v>50</v>
      </c>
      <c r="G38" s="5" t="str" cm="1">
        <f t="array" ref="G38">_xlfn.IFS(F38&lt;12,"Child",F38&lt;18,"Teen",F38&lt;25,"Young",F38&lt;40,"Adult",F38&lt;60,"Middle Age",F38&gt;=60,"Old")</f>
        <v>Middle Age</v>
      </c>
      <c r="H38" s="5" t="s">
        <v>2043</v>
      </c>
      <c r="I38" s="5" t="s">
        <v>2052</v>
      </c>
      <c r="J38" s="5" t="s">
        <v>2023</v>
      </c>
      <c r="K38" s="5" t="str">
        <f>VLOOKUP(J38,Sheet2!$A$1:$B$11,2,FALSE)</f>
        <v>Formal Wear</v>
      </c>
      <c r="L38" s="5">
        <v>3</v>
      </c>
      <c r="M38" s="6">
        <v>153</v>
      </c>
      <c r="N38" s="6">
        <v>459</v>
      </c>
      <c r="O38" s="7">
        <v>0.1</v>
      </c>
      <c r="P38" s="8">
        <f t="shared" si="0"/>
        <v>45.900000000000006</v>
      </c>
      <c r="Q38" s="9">
        <f t="shared" si="1"/>
        <v>413.1</v>
      </c>
      <c r="R38" s="5">
        <v>8</v>
      </c>
      <c r="S38" s="5" t="s">
        <v>2033</v>
      </c>
      <c r="T38" s="5" t="s">
        <v>2035</v>
      </c>
    </row>
    <row r="39" spans="1:20" x14ac:dyDescent="0.25">
      <c r="A39" s="5" t="s">
        <v>52</v>
      </c>
      <c r="B39" s="10">
        <v>45603</v>
      </c>
      <c r="C39" s="5" t="s">
        <v>1018</v>
      </c>
      <c r="D39" s="11" t="s">
        <v>1058</v>
      </c>
      <c r="E39" s="5" t="s">
        <v>2094</v>
      </c>
      <c r="F39" s="5">
        <v>59</v>
      </c>
      <c r="G39" s="5" t="str" cm="1">
        <f t="array" ref="G39">_xlfn.IFS(F39&lt;12,"Child",F39&lt;18,"Teen",F39&lt;25,"Young",F39&lt;40,"Adult",F39&lt;60,"Middle Age",F39&gt;=60,"Old")</f>
        <v>Middle Age</v>
      </c>
      <c r="H39" s="5" t="s">
        <v>2043</v>
      </c>
      <c r="I39" s="5" t="s">
        <v>2015</v>
      </c>
      <c r="J39" s="5" t="s">
        <v>2019</v>
      </c>
      <c r="K39" s="5" t="str">
        <f>VLOOKUP(J39,Sheet2!$A$1:$B$11,2,FALSE)</f>
        <v>Formal Wear</v>
      </c>
      <c r="L39" s="5">
        <v>3</v>
      </c>
      <c r="M39" s="6">
        <v>488</v>
      </c>
      <c r="N39" s="6">
        <v>1464</v>
      </c>
      <c r="O39" s="7">
        <v>0.05</v>
      </c>
      <c r="P39" s="8">
        <f t="shared" si="0"/>
        <v>73.2</v>
      </c>
      <c r="Q39" s="9">
        <f t="shared" si="1"/>
        <v>1390.8</v>
      </c>
      <c r="R39" s="5">
        <v>27</v>
      </c>
      <c r="S39" s="5" t="s">
        <v>2033</v>
      </c>
      <c r="T39" s="5" t="s">
        <v>2037</v>
      </c>
    </row>
    <row r="40" spans="1:20" x14ac:dyDescent="0.25">
      <c r="A40" s="5" t="s">
        <v>53</v>
      </c>
      <c r="B40" s="10">
        <v>45371</v>
      </c>
      <c r="C40" s="5" t="s">
        <v>1017</v>
      </c>
      <c r="D40" s="11" t="s">
        <v>1059</v>
      </c>
      <c r="E40" s="5" t="s">
        <v>2095</v>
      </c>
      <c r="F40" s="5">
        <v>55</v>
      </c>
      <c r="G40" s="5" t="str" cm="1">
        <f t="array" ref="G40">_xlfn.IFS(F40&lt;12,"Child",F40&lt;18,"Teen",F40&lt;25,"Young",F40&lt;40,"Adult",F40&lt;60,"Middle Age",F40&gt;=60,"Old")</f>
        <v>Middle Age</v>
      </c>
      <c r="H40" s="5" t="s">
        <v>2044</v>
      </c>
      <c r="I40" s="5" t="s">
        <v>2051</v>
      </c>
      <c r="J40" s="5" t="s">
        <v>2021</v>
      </c>
      <c r="K40" s="5" t="str">
        <f>VLOOKUP(J40,Sheet2!$A$1:$B$11,2,FALSE)</f>
        <v>Casual Wear</v>
      </c>
      <c r="L40" s="5">
        <v>1</v>
      </c>
      <c r="M40" s="6">
        <v>633</v>
      </c>
      <c r="N40" s="6">
        <v>633</v>
      </c>
      <c r="O40" s="7">
        <v>0</v>
      </c>
      <c r="P40" s="8">
        <f t="shared" si="0"/>
        <v>0</v>
      </c>
      <c r="Q40" s="9">
        <f t="shared" si="1"/>
        <v>633</v>
      </c>
      <c r="R40" s="5">
        <v>12</v>
      </c>
      <c r="S40" s="5" t="s">
        <v>2034</v>
      </c>
      <c r="T40" s="5" t="s">
        <v>2037</v>
      </c>
    </row>
    <row r="41" spans="1:20" x14ac:dyDescent="0.25">
      <c r="A41" s="5" t="s">
        <v>54</v>
      </c>
      <c r="B41" s="10">
        <v>45618</v>
      </c>
      <c r="C41" s="5" t="s">
        <v>1014</v>
      </c>
      <c r="D41" s="11" t="s">
        <v>1060</v>
      </c>
      <c r="E41" s="5" t="s">
        <v>2096</v>
      </c>
      <c r="F41" s="5">
        <v>51</v>
      </c>
      <c r="G41" s="5" t="str" cm="1">
        <f t="array" ref="G41">_xlfn.IFS(F41&lt;12,"Child",F41&lt;18,"Teen",F41&lt;25,"Young",F41&lt;40,"Adult",F41&lt;60,"Middle Age",F41&gt;=60,"Old")</f>
        <v>Middle Age</v>
      </c>
      <c r="H41" s="5" t="s">
        <v>2044</v>
      </c>
      <c r="I41" s="5" t="s">
        <v>2015</v>
      </c>
      <c r="J41" s="5" t="s">
        <v>2023</v>
      </c>
      <c r="K41" s="5" t="str">
        <f>VLOOKUP(J41,Sheet2!$A$1:$B$11,2,FALSE)</f>
        <v>Formal Wear</v>
      </c>
      <c r="L41" s="5">
        <v>2</v>
      </c>
      <c r="M41" s="6">
        <v>612</v>
      </c>
      <c r="N41" s="6">
        <v>1224</v>
      </c>
      <c r="O41" s="7">
        <v>0.1</v>
      </c>
      <c r="P41" s="8">
        <f t="shared" si="0"/>
        <v>122.4</v>
      </c>
      <c r="Q41" s="9">
        <f t="shared" si="1"/>
        <v>1101.5999999999999</v>
      </c>
      <c r="R41" s="5">
        <v>22</v>
      </c>
      <c r="S41" s="5" t="s">
        <v>2034</v>
      </c>
      <c r="T41" s="5" t="s">
        <v>2035</v>
      </c>
    </row>
    <row r="42" spans="1:20" x14ac:dyDescent="0.25">
      <c r="A42" s="5" t="s">
        <v>55</v>
      </c>
      <c r="B42" s="10">
        <v>45403</v>
      </c>
      <c r="C42" s="5" t="s">
        <v>1015</v>
      </c>
      <c r="D42" s="11" t="s">
        <v>1061</v>
      </c>
      <c r="E42" s="5" t="s">
        <v>2097</v>
      </c>
      <c r="F42" s="5">
        <v>22</v>
      </c>
      <c r="G42" s="5" t="str" cm="1">
        <f t="array" ref="G42">_xlfn.IFS(F42&lt;12,"Child",F42&lt;18,"Teen",F42&lt;25,"Young",F42&lt;40,"Adult",F42&lt;60,"Middle Age",F42&gt;=60,"Old")</f>
        <v>Young</v>
      </c>
      <c r="H42" s="5" t="s">
        <v>2044</v>
      </c>
      <c r="I42" s="5" t="s">
        <v>2051</v>
      </c>
      <c r="J42" s="5" t="s">
        <v>2018</v>
      </c>
      <c r="K42" s="5" t="str">
        <f>VLOOKUP(J42,Sheet2!$A$1:$B$11,2,FALSE)</f>
        <v>Sportswear</v>
      </c>
      <c r="L42" s="5">
        <v>5</v>
      </c>
      <c r="M42" s="6">
        <v>175</v>
      </c>
      <c r="N42" s="6">
        <v>875</v>
      </c>
      <c r="O42" s="7">
        <v>0.1</v>
      </c>
      <c r="P42" s="8">
        <f t="shared" si="0"/>
        <v>87.5</v>
      </c>
      <c r="Q42" s="9">
        <f t="shared" si="1"/>
        <v>787.5</v>
      </c>
      <c r="R42" s="5">
        <v>15</v>
      </c>
      <c r="S42" s="5" t="s">
        <v>2034</v>
      </c>
      <c r="T42" s="5" t="s">
        <v>2036</v>
      </c>
    </row>
    <row r="43" spans="1:20" x14ac:dyDescent="0.25">
      <c r="A43" s="5" t="s">
        <v>56</v>
      </c>
      <c r="B43" s="10">
        <v>45518</v>
      </c>
      <c r="C43" s="5" t="s">
        <v>1017</v>
      </c>
      <c r="D43" s="11" t="s">
        <v>1062</v>
      </c>
      <c r="E43" s="5" t="s">
        <v>2098</v>
      </c>
      <c r="F43" s="5">
        <v>60</v>
      </c>
      <c r="G43" s="5" t="str" cm="1">
        <f t="array" ref="G43">_xlfn.IFS(F43&lt;12,"Child",F43&lt;18,"Teen",F43&lt;25,"Young",F43&lt;40,"Adult",F43&lt;60,"Middle Age",F43&gt;=60,"Old")</f>
        <v>Old</v>
      </c>
      <c r="H43" s="5" t="s">
        <v>2044</v>
      </c>
      <c r="I43" s="5" t="s">
        <v>2045</v>
      </c>
      <c r="J43" s="5" t="s">
        <v>2024</v>
      </c>
      <c r="K43" s="5" t="str">
        <f>VLOOKUP(J43,Sheet2!$A$1:$B$11,2,FALSE)</f>
        <v>Fashion Accessories</v>
      </c>
      <c r="L43" s="5">
        <v>3</v>
      </c>
      <c r="M43" s="6">
        <v>850</v>
      </c>
      <c r="N43" s="6">
        <v>2550</v>
      </c>
      <c r="O43" s="7">
        <v>0.2</v>
      </c>
      <c r="P43" s="8">
        <f t="shared" si="0"/>
        <v>510</v>
      </c>
      <c r="Q43" s="9">
        <f t="shared" si="1"/>
        <v>2040</v>
      </c>
      <c r="R43" s="5">
        <v>40</v>
      </c>
      <c r="S43" s="5" t="s">
        <v>2034</v>
      </c>
      <c r="T43" s="5" t="s">
        <v>2035</v>
      </c>
    </row>
    <row r="44" spans="1:20" x14ac:dyDescent="0.25">
      <c r="A44" s="5" t="s">
        <v>57</v>
      </c>
      <c r="B44" s="10">
        <v>45720</v>
      </c>
      <c r="C44" s="5" t="s">
        <v>1019</v>
      </c>
      <c r="D44" s="11" t="s">
        <v>1063</v>
      </c>
      <c r="E44" s="5" t="s">
        <v>2099</v>
      </c>
      <c r="F44" s="5">
        <v>19</v>
      </c>
      <c r="G44" s="5" t="str" cm="1">
        <f t="array" ref="G44">_xlfn.IFS(F44&lt;12,"Child",F44&lt;18,"Teen",F44&lt;25,"Young",F44&lt;40,"Adult",F44&lt;60,"Middle Age",F44&gt;=60,"Old")</f>
        <v>Young</v>
      </c>
      <c r="H44" s="5" t="s">
        <v>2043</v>
      </c>
      <c r="I44" s="5" t="s">
        <v>2045</v>
      </c>
      <c r="J44" s="5" t="s">
        <v>2022</v>
      </c>
      <c r="K44" s="5" t="str">
        <f>VLOOKUP(J44,Sheet2!$A$1:$B$11,2,FALSE)</f>
        <v>Sportswear</v>
      </c>
      <c r="L44" s="5">
        <v>4</v>
      </c>
      <c r="M44" s="6">
        <v>433</v>
      </c>
      <c r="N44" s="6">
        <v>1732</v>
      </c>
      <c r="O44" s="7">
        <v>0.1</v>
      </c>
      <c r="P44" s="8">
        <f t="shared" si="0"/>
        <v>173.20000000000002</v>
      </c>
      <c r="Q44" s="9">
        <f t="shared" si="1"/>
        <v>1558.8</v>
      </c>
      <c r="R44" s="5">
        <v>31</v>
      </c>
      <c r="S44" s="5" t="s">
        <v>2033</v>
      </c>
      <c r="T44" s="5" t="s">
        <v>2035</v>
      </c>
    </row>
    <row r="45" spans="1:20" x14ac:dyDescent="0.25">
      <c r="A45" s="5" t="s">
        <v>58</v>
      </c>
      <c r="B45" s="10">
        <v>45675</v>
      </c>
      <c r="C45" s="5" t="s">
        <v>1020</v>
      </c>
      <c r="D45" s="11" t="s">
        <v>1064</v>
      </c>
      <c r="E45" s="5" t="s">
        <v>2100</v>
      </c>
      <c r="F45" s="5">
        <v>44</v>
      </c>
      <c r="G45" s="5" t="str" cm="1">
        <f t="array" ref="G45">_xlfn.IFS(F45&lt;12,"Child",F45&lt;18,"Teen",F45&lt;25,"Young",F45&lt;40,"Adult",F45&lt;60,"Middle Age",F45&gt;=60,"Old")</f>
        <v>Middle Age</v>
      </c>
      <c r="H45" s="5" t="s">
        <v>2044</v>
      </c>
      <c r="I45" s="5" t="s">
        <v>2050</v>
      </c>
      <c r="J45" s="5" t="s">
        <v>2023</v>
      </c>
      <c r="K45" s="5" t="str">
        <f>VLOOKUP(J45,Sheet2!$A$1:$B$11,2,FALSE)</f>
        <v>Formal Wear</v>
      </c>
      <c r="L45" s="5">
        <v>3</v>
      </c>
      <c r="M45" s="6">
        <v>1000</v>
      </c>
      <c r="N45" s="6">
        <v>3000</v>
      </c>
      <c r="O45" s="7">
        <v>0.15</v>
      </c>
      <c r="P45" s="8">
        <f t="shared" si="0"/>
        <v>450</v>
      </c>
      <c r="Q45" s="9">
        <f t="shared" si="1"/>
        <v>2550</v>
      </c>
      <c r="R45" s="5">
        <v>51</v>
      </c>
      <c r="S45" s="5" t="s">
        <v>2032</v>
      </c>
      <c r="T45" s="5" t="s">
        <v>2036</v>
      </c>
    </row>
    <row r="46" spans="1:20" x14ac:dyDescent="0.25">
      <c r="A46" s="5" t="s">
        <v>59</v>
      </c>
      <c r="B46" s="10">
        <v>45371</v>
      </c>
      <c r="C46" s="5" t="s">
        <v>1017</v>
      </c>
      <c r="D46" s="11" t="s">
        <v>1065</v>
      </c>
      <c r="E46" s="5" t="s">
        <v>2101</v>
      </c>
      <c r="F46" s="5">
        <v>41</v>
      </c>
      <c r="G46" s="5" t="str" cm="1">
        <f t="array" ref="G46">_xlfn.IFS(F46&lt;12,"Child",F46&lt;18,"Teen",F46&lt;25,"Young",F46&lt;40,"Adult",F46&lt;60,"Middle Age",F46&gt;=60,"Old")</f>
        <v>Middle Age</v>
      </c>
      <c r="H46" s="5" t="s">
        <v>2044</v>
      </c>
      <c r="I46" s="5" t="s">
        <v>2051</v>
      </c>
      <c r="J46" s="5" t="s">
        <v>2021</v>
      </c>
      <c r="K46" s="5" t="str">
        <f>VLOOKUP(J46,Sheet2!$A$1:$B$11,2,FALSE)</f>
        <v>Casual Wear</v>
      </c>
      <c r="L46" s="5">
        <v>3</v>
      </c>
      <c r="M46" s="6">
        <v>866</v>
      </c>
      <c r="N46" s="6">
        <v>2598</v>
      </c>
      <c r="O46" s="7">
        <v>0.1</v>
      </c>
      <c r="P46" s="8">
        <f t="shared" si="0"/>
        <v>259.8</v>
      </c>
      <c r="Q46" s="9">
        <f t="shared" si="1"/>
        <v>2338.1999999999998</v>
      </c>
      <c r="R46" s="5">
        <v>46</v>
      </c>
      <c r="S46" s="5" t="s">
        <v>2032</v>
      </c>
      <c r="T46" s="5" t="s">
        <v>2036</v>
      </c>
    </row>
    <row r="47" spans="1:20" x14ac:dyDescent="0.25">
      <c r="A47" s="5" t="s">
        <v>60</v>
      </c>
      <c r="B47" s="10">
        <v>45390</v>
      </c>
      <c r="C47" s="5" t="s">
        <v>1016</v>
      </c>
      <c r="D47" s="11" t="s">
        <v>1066</v>
      </c>
      <c r="E47" s="5" t="s">
        <v>2102</v>
      </c>
      <c r="F47" s="5">
        <v>39</v>
      </c>
      <c r="G47" s="5" t="str" cm="1">
        <f t="array" ref="G47">_xlfn.IFS(F47&lt;12,"Child",F47&lt;18,"Teen",F47&lt;25,"Young",F47&lt;40,"Adult",F47&lt;60,"Middle Age",F47&gt;=60,"Old")</f>
        <v>Adult</v>
      </c>
      <c r="H47" s="5" t="s">
        <v>2043</v>
      </c>
      <c r="I47" s="5" t="s">
        <v>2045</v>
      </c>
      <c r="J47" s="5" t="s">
        <v>2021</v>
      </c>
      <c r="K47" s="5" t="str">
        <f>VLOOKUP(J47,Sheet2!$A$1:$B$11,2,FALSE)</f>
        <v>Casual Wear</v>
      </c>
      <c r="L47" s="5">
        <v>2</v>
      </c>
      <c r="M47" s="6">
        <v>279</v>
      </c>
      <c r="N47" s="6">
        <v>558</v>
      </c>
      <c r="O47" s="7">
        <v>0.2</v>
      </c>
      <c r="P47" s="8">
        <f t="shared" si="0"/>
        <v>111.60000000000001</v>
      </c>
      <c r="Q47" s="9">
        <f t="shared" si="1"/>
        <v>446.4</v>
      </c>
      <c r="R47" s="5">
        <v>8</v>
      </c>
      <c r="S47" s="5" t="s">
        <v>2033</v>
      </c>
      <c r="T47" s="5" t="s">
        <v>2036</v>
      </c>
    </row>
    <row r="48" spans="1:20" x14ac:dyDescent="0.25">
      <c r="A48" s="5" t="s">
        <v>61</v>
      </c>
      <c r="B48" s="10">
        <v>45647</v>
      </c>
      <c r="C48" s="5" t="s">
        <v>1020</v>
      </c>
      <c r="D48" s="11" t="s">
        <v>1067</v>
      </c>
      <c r="E48" s="5" t="s">
        <v>2103</v>
      </c>
      <c r="F48" s="5">
        <v>43</v>
      </c>
      <c r="G48" s="5" t="str" cm="1">
        <f t="array" ref="G48">_xlfn.IFS(F48&lt;12,"Child",F48&lt;18,"Teen",F48&lt;25,"Young",F48&lt;40,"Adult",F48&lt;60,"Middle Age",F48&gt;=60,"Old")</f>
        <v>Middle Age</v>
      </c>
      <c r="H48" s="5" t="s">
        <v>2043</v>
      </c>
      <c r="I48" s="5" t="s">
        <v>2015</v>
      </c>
      <c r="J48" s="5" t="s">
        <v>2023</v>
      </c>
      <c r="K48" s="5" t="str">
        <f>VLOOKUP(J48,Sheet2!$A$1:$B$11,2,FALSE)</f>
        <v>Formal Wear</v>
      </c>
      <c r="L48" s="5">
        <v>4</v>
      </c>
      <c r="M48" s="6">
        <v>983</v>
      </c>
      <c r="N48" s="6">
        <v>3932</v>
      </c>
      <c r="O48" s="7">
        <v>0</v>
      </c>
      <c r="P48" s="8">
        <f t="shared" si="0"/>
        <v>0</v>
      </c>
      <c r="Q48" s="9">
        <f t="shared" si="1"/>
        <v>3932</v>
      </c>
      <c r="R48" s="5">
        <v>78</v>
      </c>
      <c r="S48" s="5" t="s">
        <v>2033</v>
      </c>
      <c r="T48" s="5" t="s">
        <v>2035</v>
      </c>
    </row>
    <row r="49" spans="1:20" x14ac:dyDescent="0.25">
      <c r="A49" s="5" t="s">
        <v>62</v>
      </c>
      <c r="B49" s="10">
        <v>45583</v>
      </c>
      <c r="C49" s="5" t="s">
        <v>1014</v>
      </c>
      <c r="D49" s="11" t="s">
        <v>1068</v>
      </c>
      <c r="E49" s="5" t="s">
        <v>2104</v>
      </c>
      <c r="F49" s="5">
        <v>40</v>
      </c>
      <c r="G49" s="5" t="str" cm="1">
        <f t="array" ref="G49">_xlfn.IFS(F49&lt;12,"Child",F49&lt;18,"Teen",F49&lt;25,"Young",F49&lt;40,"Adult",F49&lt;60,"Middle Age",F49&gt;=60,"Old")</f>
        <v>Middle Age</v>
      </c>
      <c r="H49" s="5" t="s">
        <v>2043</v>
      </c>
      <c r="I49" s="5" t="s">
        <v>2050</v>
      </c>
      <c r="J49" s="5" t="s">
        <v>2018</v>
      </c>
      <c r="K49" s="5" t="str">
        <f>VLOOKUP(J49,Sheet2!$A$1:$B$11,2,FALSE)</f>
        <v>Sportswear</v>
      </c>
      <c r="L49" s="5">
        <v>5</v>
      </c>
      <c r="M49" s="6">
        <v>295</v>
      </c>
      <c r="N49" s="6">
        <v>1475</v>
      </c>
      <c r="O49" s="7">
        <v>0.05</v>
      </c>
      <c r="P49" s="8">
        <f t="shared" si="0"/>
        <v>73.75</v>
      </c>
      <c r="Q49" s="9">
        <f t="shared" si="1"/>
        <v>1401.25</v>
      </c>
      <c r="R49" s="5">
        <v>28</v>
      </c>
      <c r="S49" s="5" t="s">
        <v>2033</v>
      </c>
      <c r="T49" s="5" t="s">
        <v>2036</v>
      </c>
    </row>
    <row r="50" spans="1:20" x14ac:dyDescent="0.25">
      <c r="A50" s="5" t="s">
        <v>63</v>
      </c>
      <c r="B50" s="10">
        <v>45499</v>
      </c>
      <c r="C50" s="5" t="s">
        <v>1014</v>
      </c>
      <c r="D50" s="11" t="s">
        <v>1069</v>
      </c>
      <c r="E50" s="5" t="s">
        <v>2105</v>
      </c>
      <c r="F50" s="5">
        <v>53</v>
      </c>
      <c r="G50" s="5" t="str" cm="1">
        <f t="array" ref="G50">_xlfn.IFS(F50&lt;12,"Child",F50&lt;18,"Teen",F50&lt;25,"Young",F50&lt;40,"Adult",F50&lt;60,"Middle Age",F50&gt;=60,"Old")</f>
        <v>Middle Age</v>
      </c>
      <c r="H50" s="5" t="s">
        <v>2043</v>
      </c>
      <c r="I50" s="5" t="s">
        <v>2045</v>
      </c>
      <c r="J50" s="5" t="s">
        <v>2023</v>
      </c>
      <c r="K50" s="5" t="str">
        <f>VLOOKUP(J50,Sheet2!$A$1:$B$11,2,FALSE)</f>
        <v>Formal Wear</v>
      </c>
      <c r="L50" s="5">
        <v>1</v>
      </c>
      <c r="M50" s="6">
        <v>274</v>
      </c>
      <c r="N50" s="6">
        <v>274</v>
      </c>
      <c r="O50" s="7">
        <v>0.05</v>
      </c>
      <c r="P50" s="8">
        <f t="shared" si="0"/>
        <v>13.700000000000001</v>
      </c>
      <c r="Q50" s="9">
        <f t="shared" si="1"/>
        <v>260.3</v>
      </c>
      <c r="R50" s="5">
        <v>5</v>
      </c>
      <c r="S50" s="5" t="s">
        <v>2033</v>
      </c>
      <c r="T50" s="5" t="s">
        <v>2036</v>
      </c>
    </row>
    <row r="51" spans="1:20" x14ac:dyDescent="0.25">
      <c r="A51" s="5" t="s">
        <v>64</v>
      </c>
      <c r="B51" s="10">
        <v>45369</v>
      </c>
      <c r="C51" s="5" t="s">
        <v>1016</v>
      </c>
      <c r="D51" s="11" t="s">
        <v>1070</v>
      </c>
      <c r="E51" s="5" t="s">
        <v>2106</v>
      </c>
      <c r="F51" s="5">
        <v>38</v>
      </c>
      <c r="G51" s="5" t="str" cm="1">
        <f t="array" ref="G51">_xlfn.IFS(F51&lt;12,"Child",F51&lt;18,"Teen",F51&lt;25,"Young",F51&lt;40,"Adult",F51&lt;60,"Middle Age",F51&gt;=60,"Old")</f>
        <v>Adult</v>
      </c>
      <c r="H51" s="5" t="s">
        <v>2044</v>
      </c>
      <c r="I51" s="5" t="s">
        <v>2053</v>
      </c>
      <c r="J51" s="5" t="s">
        <v>2019</v>
      </c>
      <c r="K51" s="5" t="str">
        <f>VLOOKUP(J51,Sheet2!$A$1:$B$11,2,FALSE)</f>
        <v>Formal Wear</v>
      </c>
      <c r="L51" s="5">
        <v>3</v>
      </c>
      <c r="M51" s="6">
        <v>647</v>
      </c>
      <c r="N51" s="6">
        <v>1941</v>
      </c>
      <c r="O51" s="7">
        <v>0.2</v>
      </c>
      <c r="P51" s="8">
        <f t="shared" si="0"/>
        <v>388.20000000000005</v>
      </c>
      <c r="Q51" s="9">
        <f t="shared" si="1"/>
        <v>1552.8</v>
      </c>
      <c r="R51" s="5">
        <v>31</v>
      </c>
      <c r="S51" s="5" t="s">
        <v>2033</v>
      </c>
      <c r="T51" s="5" t="s">
        <v>2035</v>
      </c>
    </row>
    <row r="52" spans="1:20" x14ac:dyDescent="0.25">
      <c r="A52" s="5" t="s">
        <v>65</v>
      </c>
      <c r="B52" s="10">
        <v>45579</v>
      </c>
      <c r="C52" s="5" t="s">
        <v>1016</v>
      </c>
      <c r="D52" s="11" t="s">
        <v>1071</v>
      </c>
      <c r="E52" s="5" t="s">
        <v>2107</v>
      </c>
      <c r="F52" s="5">
        <v>18</v>
      </c>
      <c r="G52" s="5" t="str" cm="1">
        <f t="array" ref="G52">_xlfn.IFS(F52&lt;12,"Child",F52&lt;18,"Teen",F52&lt;25,"Young",F52&lt;40,"Adult",F52&lt;60,"Middle Age",F52&gt;=60,"Old")</f>
        <v>Young</v>
      </c>
      <c r="H52" s="5" t="s">
        <v>2044</v>
      </c>
      <c r="I52" s="5" t="s">
        <v>2045</v>
      </c>
      <c r="J52" s="5" t="s">
        <v>2021</v>
      </c>
      <c r="K52" s="5" t="str">
        <f>VLOOKUP(J52,Sheet2!$A$1:$B$11,2,FALSE)</f>
        <v>Casual Wear</v>
      </c>
      <c r="L52" s="5">
        <v>1</v>
      </c>
      <c r="M52" s="6">
        <v>531</v>
      </c>
      <c r="N52" s="6">
        <v>531</v>
      </c>
      <c r="O52" s="7">
        <v>0</v>
      </c>
      <c r="P52" s="8">
        <f t="shared" si="0"/>
        <v>0</v>
      </c>
      <c r="Q52" s="9">
        <f t="shared" si="1"/>
        <v>531</v>
      </c>
      <c r="R52" s="5">
        <v>10</v>
      </c>
      <c r="S52" s="5" t="s">
        <v>2034</v>
      </c>
      <c r="T52" s="5" t="s">
        <v>2035</v>
      </c>
    </row>
    <row r="53" spans="1:20" x14ac:dyDescent="0.25">
      <c r="A53" s="5" t="s">
        <v>66</v>
      </c>
      <c r="B53" s="10">
        <v>45647</v>
      </c>
      <c r="C53" s="5" t="s">
        <v>1020</v>
      </c>
      <c r="D53" s="11" t="s">
        <v>1072</v>
      </c>
      <c r="E53" s="5" t="s">
        <v>2108</v>
      </c>
      <c r="F53" s="5">
        <v>49</v>
      </c>
      <c r="G53" s="5" t="str" cm="1">
        <f t="array" ref="G53">_xlfn.IFS(F53&lt;12,"Child",F53&lt;18,"Teen",F53&lt;25,"Young",F53&lt;40,"Adult",F53&lt;60,"Middle Age",F53&gt;=60,"Old")</f>
        <v>Middle Age</v>
      </c>
      <c r="H53" s="5" t="s">
        <v>2044</v>
      </c>
      <c r="I53" s="5" t="s">
        <v>2046</v>
      </c>
      <c r="J53" s="5" t="s">
        <v>2017</v>
      </c>
      <c r="K53" s="5" t="str">
        <f>VLOOKUP(J53,Sheet2!$A$1:$B$11,2,FALSE)</f>
        <v>Casual Wear</v>
      </c>
      <c r="L53" s="5">
        <v>3</v>
      </c>
      <c r="M53" s="6">
        <v>1024</v>
      </c>
      <c r="N53" s="6">
        <v>3072</v>
      </c>
      <c r="O53" s="7">
        <v>0.05</v>
      </c>
      <c r="P53" s="8">
        <f t="shared" si="0"/>
        <v>153.60000000000002</v>
      </c>
      <c r="Q53" s="9">
        <f t="shared" si="1"/>
        <v>2918.4</v>
      </c>
      <c r="R53" s="5">
        <v>58</v>
      </c>
      <c r="S53" s="5" t="s">
        <v>2034</v>
      </c>
      <c r="T53" s="5" t="s">
        <v>2036</v>
      </c>
    </row>
    <row r="54" spans="1:20" x14ac:dyDescent="0.25">
      <c r="A54" s="5" t="s">
        <v>67</v>
      </c>
      <c r="B54" s="10">
        <v>45442</v>
      </c>
      <c r="C54" s="5" t="s">
        <v>1018</v>
      </c>
      <c r="D54" s="11" t="s">
        <v>1073</v>
      </c>
      <c r="E54" s="5" t="s">
        <v>2109</v>
      </c>
      <c r="F54" s="5">
        <v>35</v>
      </c>
      <c r="G54" s="5" t="str" cm="1">
        <f t="array" ref="G54">_xlfn.IFS(F54&lt;12,"Child",F54&lt;18,"Teen",F54&lt;25,"Young",F54&lt;40,"Adult",F54&lt;60,"Middle Age",F54&gt;=60,"Old")</f>
        <v>Adult</v>
      </c>
      <c r="H54" s="5" t="s">
        <v>2043</v>
      </c>
      <c r="I54" s="5" t="s">
        <v>2052</v>
      </c>
      <c r="J54" s="5" t="s">
        <v>2016</v>
      </c>
      <c r="K54" s="5" t="str">
        <f>VLOOKUP(J54,Sheet2!$A$1:$B$11,2,FALSE)</f>
        <v>Winter Wear</v>
      </c>
      <c r="L54" s="5">
        <v>3</v>
      </c>
      <c r="M54" s="6">
        <v>583</v>
      </c>
      <c r="N54" s="6">
        <v>1749</v>
      </c>
      <c r="O54" s="7">
        <v>0.05</v>
      </c>
      <c r="P54" s="8">
        <f t="shared" si="0"/>
        <v>87.45</v>
      </c>
      <c r="Q54" s="9">
        <f t="shared" si="1"/>
        <v>1661.55</v>
      </c>
      <c r="R54" s="5">
        <v>33</v>
      </c>
      <c r="S54" s="5" t="s">
        <v>2034</v>
      </c>
      <c r="T54" s="5" t="s">
        <v>2037</v>
      </c>
    </row>
    <row r="55" spans="1:20" x14ac:dyDescent="0.25">
      <c r="A55" s="5" t="s">
        <v>68</v>
      </c>
      <c r="B55" s="10">
        <v>45369</v>
      </c>
      <c r="C55" s="5" t="s">
        <v>1016</v>
      </c>
      <c r="D55" s="11" t="s">
        <v>1074</v>
      </c>
      <c r="E55" s="5" t="s">
        <v>2110</v>
      </c>
      <c r="F55" s="5">
        <v>41</v>
      </c>
      <c r="G55" s="5" t="str" cm="1">
        <f t="array" ref="G55">_xlfn.IFS(F55&lt;12,"Child",F55&lt;18,"Teen",F55&lt;25,"Young",F55&lt;40,"Adult",F55&lt;60,"Middle Age",F55&gt;=60,"Old")</f>
        <v>Middle Age</v>
      </c>
      <c r="H55" s="5" t="s">
        <v>2043</v>
      </c>
      <c r="I55" s="5" t="s">
        <v>2053</v>
      </c>
      <c r="J55" s="5" t="s">
        <v>2025</v>
      </c>
      <c r="K55" s="5" t="str">
        <f>VLOOKUP(J55,Sheet2!$A$1:$B$11,2,FALSE)</f>
        <v>Formal Wear</v>
      </c>
      <c r="L55" s="5">
        <v>5</v>
      </c>
      <c r="M55" s="6">
        <v>291</v>
      </c>
      <c r="N55" s="6">
        <v>1455</v>
      </c>
      <c r="O55" s="7">
        <v>0.05</v>
      </c>
      <c r="P55" s="8">
        <f t="shared" si="0"/>
        <v>72.75</v>
      </c>
      <c r="Q55" s="9">
        <f t="shared" si="1"/>
        <v>1382.25</v>
      </c>
      <c r="R55" s="5">
        <v>27</v>
      </c>
      <c r="S55" s="5" t="s">
        <v>2034</v>
      </c>
      <c r="T55" s="5" t="s">
        <v>2036</v>
      </c>
    </row>
    <row r="56" spans="1:20" x14ac:dyDescent="0.25">
      <c r="A56" s="5" t="s">
        <v>69</v>
      </c>
      <c r="B56" s="10">
        <v>45574</v>
      </c>
      <c r="C56" s="5" t="s">
        <v>1017</v>
      </c>
      <c r="D56" s="11" t="s">
        <v>1075</v>
      </c>
      <c r="E56" s="5" t="s">
        <v>2111</v>
      </c>
      <c r="F56" s="5">
        <v>22</v>
      </c>
      <c r="G56" s="5" t="str" cm="1">
        <f t="array" ref="G56">_xlfn.IFS(F56&lt;12,"Child",F56&lt;18,"Teen",F56&lt;25,"Young",F56&lt;40,"Adult",F56&lt;60,"Middle Age",F56&gt;=60,"Old")</f>
        <v>Young</v>
      </c>
      <c r="H56" s="5" t="s">
        <v>2044</v>
      </c>
      <c r="I56" s="5" t="s">
        <v>2053</v>
      </c>
      <c r="J56" s="5" t="s">
        <v>2025</v>
      </c>
      <c r="K56" s="5" t="str">
        <f>VLOOKUP(J56,Sheet2!$A$1:$B$11,2,FALSE)</f>
        <v>Formal Wear</v>
      </c>
      <c r="L56" s="5">
        <v>5</v>
      </c>
      <c r="M56" s="6">
        <v>698</v>
      </c>
      <c r="N56" s="6">
        <v>3490</v>
      </c>
      <c r="O56" s="7">
        <v>0.1</v>
      </c>
      <c r="P56" s="8">
        <f t="shared" si="0"/>
        <v>349</v>
      </c>
      <c r="Q56" s="9">
        <f t="shared" si="1"/>
        <v>3141</v>
      </c>
      <c r="R56" s="5">
        <v>62</v>
      </c>
      <c r="S56" s="5" t="s">
        <v>2032</v>
      </c>
      <c r="T56" s="5" t="s">
        <v>2036</v>
      </c>
    </row>
    <row r="57" spans="1:20" x14ac:dyDescent="0.25">
      <c r="A57" s="5" t="s">
        <v>70</v>
      </c>
      <c r="B57" s="10">
        <v>45719</v>
      </c>
      <c r="C57" s="5" t="s">
        <v>1016</v>
      </c>
      <c r="D57" s="11" t="s">
        <v>1076</v>
      </c>
      <c r="E57" s="5" t="s">
        <v>2112</v>
      </c>
      <c r="F57" s="5">
        <v>35</v>
      </c>
      <c r="G57" s="5" t="str" cm="1">
        <f t="array" ref="G57">_xlfn.IFS(F57&lt;12,"Child",F57&lt;18,"Teen",F57&lt;25,"Young",F57&lt;40,"Adult",F57&lt;60,"Middle Age",F57&gt;=60,"Old")</f>
        <v>Adult</v>
      </c>
      <c r="H57" s="5" t="s">
        <v>2043</v>
      </c>
      <c r="I57" s="5" t="s">
        <v>2052</v>
      </c>
      <c r="J57" s="5" t="s">
        <v>2024</v>
      </c>
      <c r="K57" s="5" t="str">
        <f>VLOOKUP(J57,Sheet2!$A$1:$B$11,2,FALSE)</f>
        <v>Fashion Accessories</v>
      </c>
      <c r="L57" s="5">
        <v>2</v>
      </c>
      <c r="M57" s="6">
        <v>1029</v>
      </c>
      <c r="N57" s="6">
        <v>2058</v>
      </c>
      <c r="O57" s="7">
        <v>0.05</v>
      </c>
      <c r="P57" s="8">
        <f t="shared" si="0"/>
        <v>102.9</v>
      </c>
      <c r="Q57" s="9">
        <f t="shared" si="1"/>
        <v>1955.1</v>
      </c>
      <c r="R57" s="5">
        <v>39</v>
      </c>
      <c r="S57" s="5" t="s">
        <v>2032</v>
      </c>
      <c r="T57" s="5" t="s">
        <v>2036</v>
      </c>
    </row>
    <row r="58" spans="1:20" x14ac:dyDescent="0.25">
      <c r="A58" s="5" t="s">
        <v>71</v>
      </c>
      <c r="B58" s="10">
        <v>45624</v>
      </c>
      <c r="C58" s="5" t="s">
        <v>1018</v>
      </c>
      <c r="D58" s="11" t="s">
        <v>1077</v>
      </c>
      <c r="E58" s="5" t="s">
        <v>2113</v>
      </c>
      <c r="F58" s="5">
        <v>24</v>
      </c>
      <c r="G58" s="5" t="str" cm="1">
        <f t="array" ref="G58">_xlfn.IFS(F58&lt;12,"Child",F58&lt;18,"Teen",F58&lt;25,"Young",F58&lt;40,"Adult",F58&lt;60,"Middle Age",F58&gt;=60,"Old")</f>
        <v>Young</v>
      </c>
      <c r="H58" s="5" t="s">
        <v>2044</v>
      </c>
      <c r="I58" s="5" t="s">
        <v>2051</v>
      </c>
      <c r="J58" s="5" t="s">
        <v>2020</v>
      </c>
      <c r="K58" s="5" t="str">
        <f>VLOOKUP(J58,Sheet2!$A$1:$B$11,2,FALSE)</f>
        <v>Summer Wear</v>
      </c>
      <c r="L58" s="5">
        <v>2</v>
      </c>
      <c r="M58" s="6">
        <v>517</v>
      </c>
      <c r="N58" s="6">
        <v>1034</v>
      </c>
      <c r="O58" s="7">
        <v>0</v>
      </c>
      <c r="P58" s="8">
        <f t="shared" si="0"/>
        <v>0</v>
      </c>
      <c r="Q58" s="9">
        <f t="shared" si="1"/>
        <v>1034</v>
      </c>
      <c r="R58" s="5">
        <v>20</v>
      </c>
      <c r="S58" s="5" t="s">
        <v>2032</v>
      </c>
      <c r="T58" s="5" t="s">
        <v>2036</v>
      </c>
    </row>
    <row r="59" spans="1:20" x14ac:dyDescent="0.25">
      <c r="A59" s="5" t="s">
        <v>72</v>
      </c>
      <c r="B59" s="10">
        <v>45554</v>
      </c>
      <c r="C59" s="5" t="s">
        <v>1018</v>
      </c>
      <c r="D59" s="11" t="s">
        <v>1078</v>
      </c>
      <c r="E59" s="5" t="s">
        <v>2114</v>
      </c>
      <c r="F59" s="5">
        <v>29</v>
      </c>
      <c r="G59" s="5" t="str" cm="1">
        <f t="array" ref="G59">_xlfn.IFS(F59&lt;12,"Child",F59&lt;18,"Teen",F59&lt;25,"Young",F59&lt;40,"Adult",F59&lt;60,"Middle Age",F59&gt;=60,"Old")</f>
        <v>Adult</v>
      </c>
      <c r="H59" s="5" t="s">
        <v>2044</v>
      </c>
      <c r="I59" s="5" t="s">
        <v>2052</v>
      </c>
      <c r="J59" s="5" t="s">
        <v>2018</v>
      </c>
      <c r="K59" s="5" t="str">
        <f>VLOOKUP(J59,Sheet2!$A$1:$B$11,2,FALSE)</f>
        <v>Sportswear</v>
      </c>
      <c r="L59" s="5">
        <v>5</v>
      </c>
      <c r="M59" s="6">
        <v>770</v>
      </c>
      <c r="N59" s="6">
        <v>3850</v>
      </c>
      <c r="O59" s="7">
        <v>0.2</v>
      </c>
      <c r="P59" s="8">
        <f t="shared" si="0"/>
        <v>770</v>
      </c>
      <c r="Q59" s="9">
        <f t="shared" si="1"/>
        <v>3080</v>
      </c>
      <c r="R59" s="5">
        <v>61</v>
      </c>
      <c r="S59" s="5" t="s">
        <v>2032</v>
      </c>
      <c r="T59" s="5" t="s">
        <v>2035</v>
      </c>
    </row>
    <row r="60" spans="1:20" x14ac:dyDescent="0.25">
      <c r="A60" s="5" t="s">
        <v>73</v>
      </c>
      <c r="B60" s="10">
        <v>45684</v>
      </c>
      <c r="C60" s="5" t="s">
        <v>1016</v>
      </c>
      <c r="D60" s="11" t="s">
        <v>1079</v>
      </c>
      <c r="E60" s="5" t="s">
        <v>2115</v>
      </c>
      <c r="F60" s="5">
        <v>18</v>
      </c>
      <c r="G60" s="5" t="str" cm="1">
        <f t="array" ref="G60">_xlfn.IFS(F60&lt;12,"Child",F60&lt;18,"Teen",F60&lt;25,"Young",F60&lt;40,"Adult",F60&lt;60,"Middle Age",F60&gt;=60,"Old")</f>
        <v>Young</v>
      </c>
      <c r="H60" s="5" t="s">
        <v>2044</v>
      </c>
      <c r="I60" s="5" t="s">
        <v>2053</v>
      </c>
      <c r="J60" s="5" t="s">
        <v>2023</v>
      </c>
      <c r="K60" s="5" t="str">
        <f>VLOOKUP(J60,Sheet2!$A$1:$B$11,2,FALSE)</f>
        <v>Formal Wear</v>
      </c>
      <c r="L60" s="5">
        <v>5</v>
      </c>
      <c r="M60" s="6">
        <v>1054</v>
      </c>
      <c r="N60" s="6">
        <v>5270</v>
      </c>
      <c r="O60" s="7">
        <v>0.1</v>
      </c>
      <c r="P60" s="8">
        <f t="shared" si="0"/>
        <v>527</v>
      </c>
      <c r="Q60" s="9">
        <f t="shared" si="1"/>
        <v>4743</v>
      </c>
      <c r="R60" s="5">
        <v>94</v>
      </c>
      <c r="S60" s="5" t="s">
        <v>2032</v>
      </c>
      <c r="T60" s="5" t="s">
        <v>2037</v>
      </c>
    </row>
    <row r="61" spans="1:20" x14ac:dyDescent="0.25">
      <c r="A61" s="5" t="s">
        <v>74</v>
      </c>
      <c r="B61" s="10">
        <v>45483</v>
      </c>
      <c r="C61" s="5" t="s">
        <v>1017</v>
      </c>
      <c r="D61" s="11" t="s">
        <v>1080</v>
      </c>
      <c r="E61" s="5" t="s">
        <v>2116</v>
      </c>
      <c r="F61" s="5">
        <v>44</v>
      </c>
      <c r="G61" s="5" t="str" cm="1">
        <f t="array" ref="G61">_xlfn.IFS(F61&lt;12,"Child",F61&lt;18,"Teen",F61&lt;25,"Young",F61&lt;40,"Adult",F61&lt;60,"Middle Age",F61&gt;=60,"Old")</f>
        <v>Middle Age</v>
      </c>
      <c r="H61" s="5" t="s">
        <v>2044</v>
      </c>
      <c r="I61" s="5" t="s">
        <v>2049</v>
      </c>
      <c r="J61" s="5" t="s">
        <v>2020</v>
      </c>
      <c r="K61" s="5" t="str">
        <f>VLOOKUP(J61,Sheet2!$A$1:$B$11,2,FALSE)</f>
        <v>Summer Wear</v>
      </c>
      <c r="L61" s="5">
        <v>1</v>
      </c>
      <c r="M61" s="6">
        <v>444</v>
      </c>
      <c r="N61" s="6">
        <v>444</v>
      </c>
      <c r="O61" s="7">
        <v>0.05</v>
      </c>
      <c r="P61" s="8">
        <f t="shared" si="0"/>
        <v>22.200000000000003</v>
      </c>
      <c r="Q61" s="9">
        <f t="shared" si="1"/>
        <v>421.8</v>
      </c>
      <c r="R61" s="5">
        <v>8</v>
      </c>
      <c r="S61" s="5" t="s">
        <v>2033</v>
      </c>
      <c r="T61" s="5" t="s">
        <v>2036</v>
      </c>
    </row>
    <row r="62" spans="1:20" x14ac:dyDescent="0.25">
      <c r="A62" s="5" t="s">
        <v>75</v>
      </c>
      <c r="B62" s="10">
        <v>45542</v>
      </c>
      <c r="C62" s="5" t="s">
        <v>1020</v>
      </c>
      <c r="D62" s="11" t="s">
        <v>1081</v>
      </c>
      <c r="E62" s="5" t="s">
        <v>2117</v>
      </c>
      <c r="F62" s="5">
        <v>55</v>
      </c>
      <c r="G62" s="5" t="str" cm="1">
        <f t="array" ref="G62">_xlfn.IFS(F62&lt;12,"Child",F62&lt;18,"Teen",F62&lt;25,"Young",F62&lt;40,"Adult",F62&lt;60,"Middle Age",F62&gt;=60,"Old")</f>
        <v>Middle Age</v>
      </c>
      <c r="H62" s="5" t="s">
        <v>2044</v>
      </c>
      <c r="I62" s="5" t="s">
        <v>2052</v>
      </c>
      <c r="J62" s="5" t="s">
        <v>2025</v>
      </c>
      <c r="K62" s="5" t="str">
        <f>VLOOKUP(J62,Sheet2!$A$1:$B$11,2,FALSE)</f>
        <v>Formal Wear</v>
      </c>
      <c r="L62" s="5">
        <v>4</v>
      </c>
      <c r="M62" s="6">
        <v>884</v>
      </c>
      <c r="N62" s="6">
        <v>3536</v>
      </c>
      <c r="O62" s="7">
        <v>0</v>
      </c>
      <c r="P62" s="8">
        <f t="shared" si="0"/>
        <v>0</v>
      </c>
      <c r="Q62" s="9">
        <f t="shared" si="1"/>
        <v>3536</v>
      </c>
      <c r="R62" s="5">
        <v>70</v>
      </c>
      <c r="S62" s="5" t="s">
        <v>2033</v>
      </c>
      <c r="T62" s="5" t="s">
        <v>2037</v>
      </c>
    </row>
    <row r="63" spans="1:20" x14ac:dyDescent="0.25">
      <c r="A63" s="5" t="s">
        <v>76</v>
      </c>
      <c r="B63" s="10">
        <v>45720</v>
      </c>
      <c r="C63" s="5" t="s">
        <v>1019</v>
      </c>
      <c r="D63" s="11" t="s">
        <v>1082</v>
      </c>
      <c r="E63" s="5" t="s">
        <v>2118</v>
      </c>
      <c r="F63" s="5">
        <v>46</v>
      </c>
      <c r="G63" s="5" t="str" cm="1">
        <f t="array" ref="G63">_xlfn.IFS(F63&lt;12,"Child",F63&lt;18,"Teen",F63&lt;25,"Young",F63&lt;40,"Adult",F63&lt;60,"Middle Age",F63&gt;=60,"Old")</f>
        <v>Middle Age</v>
      </c>
      <c r="H63" s="5" t="s">
        <v>2043</v>
      </c>
      <c r="I63" s="5" t="s">
        <v>2045</v>
      </c>
      <c r="J63" s="5" t="s">
        <v>2023</v>
      </c>
      <c r="K63" s="5" t="str">
        <f>VLOOKUP(J63,Sheet2!$A$1:$B$11,2,FALSE)</f>
        <v>Formal Wear</v>
      </c>
      <c r="L63" s="5">
        <v>2</v>
      </c>
      <c r="M63" s="6">
        <v>421</v>
      </c>
      <c r="N63" s="6">
        <v>842</v>
      </c>
      <c r="O63" s="7">
        <v>0.2</v>
      </c>
      <c r="P63" s="8">
        <f t="shared" si="0"/>
        <v>168.4</v>
      </c>
      <c r="Q63" s="9">
        <f t="shared" si="1"/>
        <v>673.6</v>
      </c>
      <c r="R63" s="5">
        <v>13</v>
      </c>
      <c r="S63" s="5" t="s">
        <v>2033</v>
      </c>
      <c r="T63" s="5" t="s">
        <v>2037</v>
      </c>
    </row>
    <row r="64" spans="1:20" x14ac:dyDescent="0.25">
      <c r="A64" s="5" t="s">
        <v>77</v>
      </c>
      <c r="B64" s="10">
        <v>45582</v>
      </c>
      <c r="C64" s="5" t="s">
        <v>1018</v>
      </c>
      <c r="D64" s="11" t="s">
        <v>1083</v>
      </c>
      <c r="E64" s="5" t="s">
        <v>2119</v>
      </c>
      <c r="F64" s="5">
        <v>43</v>
      </c>
      <c r="G64" s="5" t="str" cm="1">
        <f t="array" ref="G64">_xlfn.IFS(F64&lt;12,"Child",F64&lt;18,"Teen",F64&lt;25,"Young",F64&lt;40,"Adult",F64&lt;60,"Middle Age",F64&gt;=60,"Old")</f>
        <v>Middle Age</v>
      </c>
      <c r="H64" s="5" t="s">
        <v>2043</v>
      </c>
      <c r="I64" s="5" t="s">
        <v>2047</v>
      </c>
      <c r="J64" s="5" t="s">
        <v>2024</v>
      </c>
      <c r="K64" s="5" t="str">
        <f>VLOOKUP(J64,Sheet2!$A$1:$B$11,2,FALSE)</f>
        <v>Fashion Accessories</v>
      </c>
      <c r="L64" s="5">
        <v>5</v>
      </c>
      <c r="M64" s="6">
        <v>731</v>
      </c>
      <c r="N64" s="6">
        <v>3655</v>
      </c>
      <c r="O64" s="7">
        <v>0.15</v>
      </c>
      <c r="P64" s="8">
        <f t="shared" si="0"/>
        <v>548.25</v>
      </c>
      <c r="Q64" s="9">
        <f t="shared" si="1"/>
        <v>3106.75</v>
      </c>
      <c r="R64" s="5">
        <v>62</v>
      </c>
      <c r="S64" s="5" t="s">
        <v>2032</v>
      </c>
      <c r="T64" s="5" t="s">
        <v>2035</v>
      </c>
    </row>
    <row r="65" spans="1:20" x14ac:dyDescent="0.25">
      <c r="A65" s="5" t="s">
        <v>78</v>
      </c>
      <c r="B65" s="10">
        <v>45437</v>
      </c>
      <c r="C65" s="5" t="s">
        <v>1020</v>
      </c>
      <c r="D65" s="11" t="s">
        <v>1084</v>
      </c>
      <c r="E65" s="5" t="s">
        <v>2120</v>
      </c>
      <c r="F65" s="5">
        <v>44</v>
      </c>
      <c r="G65" s="5" t="str" cm="1">
        <f t="array" ref="G65">_xlfn.IFS(F65&lt;12,"Child",F65&lt;18,"Teen",F65&lt;25,"Young",F65&lt;40,"Adult",F65&lt;60,"Middle Age",F65&gt;=60,"Old")</f>
        <v>Middle Age</v>
      </c>
      <c r="H65" s="5" t="s">
        <v>2044</v>
      </c>
      <c r="I65" s="5" t="s">
        <v>2047</v>
      </c>
      <c r="J65" s="5" t="s">
        <v>2018</v>
      </c>
      <c r="K65" s="5" t="str">
        <f>VLOOKUP(J65,Sheet2!$A$1:$B$11,2,FALSE)</f>
        <v>Sportswear</v>
      </c>
      <c r="L65" s="5">
        <v>4</v>
      </c>
      <c r="M65" s="6">
        <v>1163</v>
      </c>
      <c r="N65" s="6">
        <v>4652</v>
      </c>
      <c r="O65" s="7">
        <v>0.05</v>
      </c>
      <c r="P65" s="8">
        <f t="shared" si="0"/>
        <v>232.60000000000002</v>
      </c>
      <c r="Q65" s="9">
        <f t="shared" si="1"/>
        <v>4419.3999999999996</v>
      </c>
      <c r="R65" s="5">
        <v>88</v>
      </c>
      <c r="S65" s="5" t="s">
        <v>2032</v>
      </c>
      <c r="T65" s="5" t="s">
        <v>2037</v>
      </c>
    </row>
    <row r="66" spans="1:20" x14ac:dyDescent="0.25">
      <c r="A66" s="5" t="s">
        <v>79</v>
      </c>
      <c r="B66" s="10">
        <v>45644</v>
      </c>
      <c r="C66" s="5" t="s">
        <v>1017</v>
      </c>
      <c r="D66" s="11" t="s">
        <v>1085</v>
      </c>
      <c r="E66" s="5" t="s">
        <v>2121</v>
      </c>
      <c r="F66" s="5">
        <v>47</v>
      </c>
      <c r="G66" s="5" t="str" cm="1">
        <f t="array" ref="G66">_xlfn.IFS(F66&lt;12,"Child",F66&lt;18,"Teen",F66&lt;25,"Young",F66&lt;40,"Adult",F66&lt;60,"Middle Age",F66&gt;=60,"Old")</f>
        <v>Middle Age</v>
      </c>
      <c r="H66" s="5" t="s">
        <v>2043</v>
      </c>
      <c r="I66" s="5" t="s">
        <v>2051</v>
      </c>
      <c r="J66" s="5" t="s">
        <v>2019</v>
      </c>
      <c r="K66" s="5" t="str">
        <f>VLOOKUP(J66,Sheet2!$A$1:$B$11,2,FALSE)</f>
        <v>Formal Wear</v>
      </c>
      <c r="L66" s="5">
        <v>2</v>
      </c>
      <c r="M66" s="6">
        <v>1013</v>
      </c>
      <c r="N66" s="6">
        <v>2026</v>
      </c>
      <c r="O66" s="7">
        <v>0.1</v>
      </c>
      <c r="P66" s="8">
        <f t="shared" si="0"/>
        <v>202.60000000000002</v>
      </c>
      <c r="Q66" s="9">
        <f t="shared" si="1"/>
        <v>1823.4</v>
      </c>
      <c r="R66" s="5">
        <v>36</v>
      </c>
      <c r="S66" s="5" t="s">
        <v>2032</v>
      </c>
      <c r="T66" s="5" t="s">
        <v>2037</v>
      </c>
    </row>
    <row r="67" spans="1:20" x14ac:dyDescent="0.25">
      <c r="A67" s="5" t="s">
        <v>80</v>
      </c>
      <c r="B67" s="10">
        <v>45546</v>
      </c>
      <c r="C67" s="5" t="s">
        <v>1017</v>
      </c>
      <c r="D67" s="11" t="s">
        <v>1086</v>
      </c>
      <c r="E67" s="5" t="s">
        <v>2122</v>
      </c>
      <c r="F67" s="5">
        <v>37</v>
      </c>
      <c r="G67" s="5" t="str" cm="1">
        <f t="array" ref="G67">_xlfn.IFS(F67&lt;12,"Child",F67&lt;18,"Teen",F67&lt;25,"Young",F67&lt;40,"Adult",F67&lt;60,"Middle Age",F67&gt;=60,"Old")</f>
        <v>Adult</v>
      </c>
      <c r="H67" s="5" t="s">
        <v>2043</v>
      </c>
      <c r="I67" s="5" t="s">
        <v>2046</v>
      </c>
      <c r="J67" s="5" t="s">
        <v>2016</v>
      </c>
      <c r="K67" s="5" t="str">
        <f>VLOOKUP(J67,Sheet2!$A$1:$B$11,2,FALSE)</f>
        <v>Winter Wear</v>
      </c>
      <c r="L67" s="5">
        <v>2</v>
      </c>
      <c r="M67" s="6">
        <v>168</v>
      </c>
      <c r="N67" s="6">
        <v>336</v>
      </c>
      <c r="O67" s="7">
        <v>0.1</v>
      </c>
      <c r="P67" s="8">
        <f t="shared" ref="P67:P130" si="2">N67*O67</f>
        <v>33.6</v>
      </c>
      <c r="Q67" s="9">
        <f t="shared" ref="Q67:Q130" si="3">N67-P67</f>
        <v>302.39999999999998</v>
      </c>
      <c r="R67" s="5">
        <v>6</v>
      </c>
      <c r="S67" s="5" t="s">
        <v>2033</v>
      </c>
      <c r="T67" s="5" t="s">
        <v>2037</v>
      </c>
    </row>
    <row r="68" spans="1:20" x14ac:dyDescent="0.25">
      <c r="A68" s="5" t="s">
        <v>81</v>
      </c>
      <c r="B68" s="10">
        <v>45473</v>
      </c>
      <c r="C68" s="5" t="s">
        <v>1015</v>
      </c>
      <c r="D68" s="11" t="s">
        <v>1087</v>
      </c>
      <c r="E68" s="5" t="s">
        <v>2123</v>
      </c>
      <c r="F68" s="5">
        <v>27</v>
      </c>
      <c r="G68" s="5" t="str" cm="1">
        <f t="array" ref="G68">_xlfn.IFS(F68&lt;12,"Child",F68&lt;18,"Teen",F68&lt;25,"Young",F68&lt;40,"Adult",F68&lt;60,"Middle Age",F68&gt;=60,"Old")</f>
        <v>Adult</v>
      </c>
      <c r="H68" s="5" t="s">
        <v>2044</v>
      </c>
      <c r="I68" s="5" t="s">
        <v>2047</v>
      </c>
      <c r="J68" s="5" t="s">
        <v>2025</v>
      </c>
      <c r="K68" s="5" t="str">
        <f>VLOOKUP(J68,Sheet2!$A$1:$B$11,2,FALSE)</f>
        <v>Formal Wear</v>
      </c>
      <c r="L68" s="5">
        <v>4</v>
      </c>
      <c r="M68" s="6">
        <v>1069</v>
      </c>
      <c r="N68" s="6">
        <v>4276</v>
      </c>
      <c r="O68" s="7">
        <v>0.1</v>
      </c>
      <c r="P68" s="8">
        <f t="shared" si="2"/>
        <v>427.6</v>
      </c>
      <c r="Q68" s="9">
        <f t="shared" si="3"/>
        <v>3848.4</v>
      </c>
      <c r="R68" s="5">
        <v>76</v>
      </c>
      <c r="S68" s="5" t="s">
        <v>2034</v>
      </c>
      <c r="T68" s="5" t="s">
        <v>2035</v>
      </c>
    </row>
    <row r="69" spans="1:20" x14ac:dyDescent="0.25">
      <c r="A69" s="5" t="s">
        <v>82</v>
      </c>
      <c r="B69" s="10">
        <v>45512</v>
      </c>
      <c r="C69" s="5" t="s">
        <v>1018</v>
      </c>
      <c r="D69" s="11" t="s">
        <v>1088</v>
      </c>
      <c r="E69" s="5" t="s">
        <v>2124</v>
      </c>
      <c r="F69" s="5">
        <v>50</v>
      </c>
      <c r="G69" s="5" t="str" cm="1">
        <f t="array" ref="G69">_xlfn.IFS(F69&lt;12,"Child",F69&lt;18,"Teen",F69&lt;25,"Young",F69&lt;40,"Adult",F69&lt;60,"Middle Age",F69&gt;=60,"Old")</f>
        <v>Middle Age</v>
      </c>
      <c r="H69" s="5" t="s">
        <v>2043</v>
      </c>
      <c r="I69" s="5" t="s">
        <v>2047</v>
      </c>
      <c r="J69" s="5" t="s">
        <v>2024</v>
      </c>
      <c r="K69" s="5" t="str">
        <f>VLOOKUP(J69,Sheet2!$A$1:$B$11,2,FALSE)</f>
        <v>Fashion Accessories</v>
      </c>
      <c r="L69" s="5">
        <v>1</v>
      </c>
      <c r="M69" s="6">
        <v>544</v>
      </c>
      <c r="N69" s="6">
        <v>544</v>
      </c>
      <c r="O69" s="7">
        <v>0.15</v>
      </c>
      <c r="P69" s="8">
        <f t="shared" si="2"/>
        <v>81.599999999999994</v>
      </c>
      <c r="Q69" s="9">
        <f t="shared" si="3"/>
        <v>462.4</v>
      </c>
      <c r="R69" s="5">
        <v>9</v>
      </c>
      <c r="S69" s="5" t="s">
        <v>2033</v>
      </c>
      <c r="T69" s="5" t="s">
        <v>2035</v>
      </c>
    </row>
    <row r="70" spans="1:20" x14ac:dyDescent="0.25">
      <c r="A70" s="5" t="s">
        <v>83</v>
      </c>
      <c r="B70" s="10">
        <v>45564</v>
      </c>
      <c r="C70" s="5" t="s">
        <v>1015</v>
      </c>
      <c r="D70" s="11" t="s">
        <v>1089</v>
      </c>
      <c r="E70" s="5" t="s">
        <v>2125</v>
      </c>
      <c r="F70" s="5">
        <v>49</v>
      </c>
      <c r="G70" s="5" t="str" cm="1">
        <f t="array" ref="G70">_xlfn.IFS(F70&lt;12,"Child",F70&lt;18,"Teen",F70&lt;25,"Young",F70&lt;40,"Adult",F70&lt;60,"Middle Age",F70&gt;=60,"Old")</f>
        <v>Middle Age</v>
      </c>
      <c r="H70" s="5" t="s">
        <v>2043</v>
      </c>
      <c r="I70" s="5" t="s">
        <v>2048</v>
      </c>
      <c r="J70" s="5" t="s">
        <v>2025</v>
      </c>
      <c r="K70" s="5" t="str">
        <f>VLOOKUP(J70,Sheet2!$A$1:$B$11,2,FALSE)</f>
        <v>Formal Wear</v>
      </c>
      <c r="L70" s="5">
        <v>5</v>
      </c>
      <c r="M70" s="6">
        <v>985</v>
      </c>
      <c r="N70" s="6">
        <v>4925</v>
      </c>
      <c r="O70" s="7">
        <v>0.1</v>
      </c>
      <c r="P70" s="8">
        <f t="shared" si="2"/>
        <v>492.5</v>
      </c>
      <c r="Q70" s="9">
        <f t="shared" si="3"/>
        <v>4432.5</v>
      </c>
      <c r="R70" s="5">
        <v>88</v>
      </c>
      <c r="S70" s="5" t="s">
        <v>2032</v>
      </c>
      <c r="T70" s="5" t="s">
        <v>2036</v>
      </c>
    </row>
    <row r="71" spans="1:20" x14ac:dyDescent="0.25">
      <c r="A71" s="5" t="s">
        <v>84</v>
      </c>
      <c r="B71" s="10">
        <v>45709</v>
      </c>
      <c r="C71" s="5" t="s">
        <v>1014</v>
      </c>
      <c r="D71" s="11" t="s">
        <v>1090</v>
      </c>
      <c r="E71" s="5" t="s">
        <v>2126</v>
      </c>
      <c r="F71" s="5">
        <v>30</v>
      </c>
      <c r="G71" s="5" t="str" cm="1">
        <f t="array" ref="G71">_xlfn.IFS(F71&lt;12,"Child",F71&lt;18,"Teen",F71&lt;25,"Young",F71&lt;40,"Adult",F71&lt;60,"Middle Age",F71&gt;=60,"Old")</f>
        <v>Adult</v>
      </c>
      <c r="H71" s="5" t="s">
        <v>2043</v>
      </c>
      <c r="I71" s="5" t="s">
        <v>2053</v>
      </c>
      <c r="J71" s="5" t="s">
        <v>2019</v>
      </c>
      <c r="K71" s="5" t="str">
        <f>VLOOKUP(J71,Sheet2!$A$1:$B$11,2,FALSE)</f>
        <v>Formal Wear</v>
      </c>
      <c r="L71" s="5">
        <v>2</v>
      </c>
      <c r="M71" s="6">
        <v>872</v>
      </c>
      <c r="N71" s="6">
        <v>1744</v>
      </c>
      <c r="O71" s="7">
        <v>0.15</v>
      </c>
      <c r="P71" s="8">
        <f t="shared" si="2"/>
        <v>261.59999999999997</v>
      </c>
      <c r="Q71" s="9">
        <f t="shared" si="3"/>
        <v>1482.4</v>
      </c>
      <c r="R71" s="5">
        <v>29</v>
      </c>
      <c r="S71" s="5" t="s">
        <v>2032</v>
      </c>
      <c r="T71" s="5" t="s">
        <v>2035</v>
      </c>
    </row>
    <row r="72" spans="1:20" x14ac:dyDescent="0.25">
      <c r="A72" s="5" t="s">
        <v>85</v>
      </c>
      <c r="B72" s="10">
        <v>45563</v>
      </c>
      <c r="C72" s="5" t="s">
        <v>1020</v>
      </c>
      <c r="D72" s="11" t="s">
        <v>1091</v>
      </c>
      <c r="E72" s="5" t="s">
        <v>2127</v>
      </c>
      <c r="F72" s="5">
        <v>49</v>
      </c>
      <c r="G72" s="5" t="str" cm="1">
        <f t="array" ref="G72">_xlfn.IFS(F72&lt;12,"Child",F72&lt;18,"Teen",F72&lt;25,"Young",F72&lt;40,"Adult",F72&lt;60,"Middle Age",F72&gt;=60,"Old")</f>
        <v>Middle Age</v>
      </c>
      <c r="H72" s="5" t="s">
        <v>2043</v>
      </c>
      <c r="I72" s="5" t="s">
        <v>2046</v>
      </c>
      <c r="J72" s="5" t="s">
        <v>2021</v>
      </c>
      <c r="K72" s="5" t="str">
        <f>VLOOKUP(J72,Sheet2!$A$1:$B$11,2,FALSE)</f>
        <v>Casual Wear</v>
      </c>
      <c r="L72" s="5">
        <v>3</v>
      </c>
      <c r="M72" s="6">
        <v>1039</v>
      </c>
      <c r="N72" s="6">
        <v>3117</v>
      </c>
      <c r="O72" s="7">
        <v>0</v>
      </c>
      <c r="P72" s="8">
        <f t="shared" si="2"/>
        <v>0</v>
      </c>
      <c r="Q72" s="9">
        <f t="shared" si="3"/>
        <v>3117</v>
      </c>
      <c r="R72" s="5">
        <v>62</v>
      </c>
      <c r="S72" s="5" t="s">
        <v>2033</v>
      </c>
      <c r="T72" s="5" t="s">
        <v>2037</v>
      </c>
    </row>
    <row r="73" spans="1:20" x14ac:dyDescent="0.25">
      <c r="A73" s="5" t="s">
        <v>86</v>
      </c>
      <c r="B73" s="10">
        <v>45435</v>
      </c>
      <c r="C73" s="5" t="s">
        <v>1018</v>
      </c>
      <c r="D73" s="11" t="s">
        <v>1092</v>
      </c>
      <c r="E73" s="5" t="s">
        <v>2128</v>
      </c>
      <c r="F73" s="5">
        <v>58</v>
      </c>
      <c r="G73" s="5" t="str" cm="1">
        <f t="array" ref="G73">_xlfn.IFS(F73&lt;12,"Child",F73&lt;18,"Teen",F73&lt;25,"Young",F73&lt;40,"Adult",F73&lt;60,"Middle Age",F73&gt;=60,"Old")</f>
        <v>Middle Age</v>
      </c>
      <c r="H73" s="5" t="s">
        <v>2043</v>
      </c>
      <c r="I73" s="5" t="s">
        <v>2015</v>
      </c>
      <c r="J73" s="5" t="s">
        <v>2024</v>
      </c>
      <c r="K73" s="5" t="str">
        <f>VLOOKUP(J73,Sheet2!$A$1:$B$11,2,FALSE)</f>
        <v>Fashion Accessories</v>
      </c>
      <c r="L73" s="5">
        <v>3</v>
      </c>
      <c r="M73" s="6">
        <v>954</v>
      </c>
      <c r="N73" s="6">
        <v>2862</v>
      </c>
      <c r="O73" s="7">
        <v>0.2</v>
      </c>
      <c r="P73" s="8">
        <f t="shared" si="2"/>
        <v>572.4</v>
      </c>
      <c r="Q73" s="9">
        <f t="shared" si="3"/>
        <v>2289.6</v>
      </c>
      <c r="R73" s="5">
        <v>45</v>
      </c>
      <c r="S73" s="5" t="s">
        <v>2034</v>
      </c>
      <c r="T73" s="5" t="s">
        <v>2037</v>
      </c>
    </row>
    <row r="74" spans="1:20" x14ac:dyDescent="0.25">
      <c r="A74" s="5" t="s">
        <v>87</v>
      </c>
      <c r="B74" s="10">
        <v>45446</v>
      </c>
      <c r="C74" s="5" t="s">
        <v>1016</v>
      </c>
      <c r="D74" s="11" t="s">
        <v>1093</v>
      </c>
      <c r="E74" s="5" t="s">
        <v>2129</v>
      </c>
      <c r="F74" s="5">
        <v>29</v>
      </c>
      <c r="G74" s="5" t="str" cm="1">
        <f t="array" ref="G74">_xlfn.IFS(F74&lt;12,"Child",F74&lt;18,"Teen",F74&lt;25,"Young",F74&lt;40,"Adult",F74&lt;60,"Middle Age",F74&gt;=60,"Old")</f>
        <v>Adult</v>
      </c>
      <c r="H74" s="5" t="s">
        <v>2044</v>
      </c>
      <c r="I74" s="5" t="s">
        <v>2051</v>
      </c>
      <c r="J74" s="5" t="s">
        <v>2020</v>
      </c>
      <c r="K74" s="5" t="str">
        <f>VLOOKUP(J74,Sheet2!$A$1:$B$11,2,FALSE)</f>
        <v>Summer Wear</v>
      </c>
      <c r="L74" s="5">
        <v>2</v>
      </c>
      <c r="M74" s="6">
        <v>256</v>
      </c>
      <c r="N74" s="6">
        <v>512</v>
      </c>
      <c r="O74" s="7">
        <v>0.2</v>
      </c>
      <c r="P74" s="8">
        <f t="shared" si="2"/>
        <v>102.4</v>
      </c>
      <c r="Q74" s="9">
        <f t="shared" si="3"/>
        <v>409.6</v>
      </c>
      <c r="R74" s="5">
        <v>8</v>
      </c>
      <c r="S74" s="5" t="s">
        <v>2033</v>
      </c>
      <c r="T74" s="5" t="s">
        <v>2037</v>
      </c>
    </row>
    <row r="75" spans="1:20" x14ac:dyDescent="0.25">
      <c r="A75" s="5" t="s">
        <v>88</v>
      </c>
      <c r="B75" s="10">
        <v>45589</v>
      </c>
      <c r="C75" s="5" t="s">
        <v>1018</v>
      </c>
      <c r="D75" s="11" t="s">
        <v>1094</v>
      </c>
      <c r="E75" s="5" t="s">
        <v>2130</v>
      </c>
      <c r="F75" s="5">
        <v>58</v>
      </c>
      <c r="G75" s="5" t="str" cm="1">
        <f t="array" ref="G75">_xlfn.IFS(F75&lt;12,"Child",F75&lt;18,"Teen",F75&lt;25,"Young",F75&lt;40,"Adult",F75&lt;60,"Middle Age",F75&gt;=60,"Old")</f>
        <v>Middle Age</v>
      </c>
      <c r="H75" s="5" t="s">
        <v>2044</v>
      </c>
      <c r="I75" s="5" t="s">
        <v>2052</v>
      </c>
      <c r="J75" s="5" t="s">
        <v>2022</v>
      </c>
      <c r="K75" s="5" t="str">
        <f>VLOOKUP(J75,Sheet2!$A$1:$B$11,2,FALSE)</f>
        <v>Sportswear</v>
      </c>
      <c r="L75" s="5">
        <v>2</v>
      </c>
      <c r="M75" s="6">
        <v>699</v>
      </c>
      <c r="N75" s="6">
        <v>1398</v>
      </c>
      <c r="O75" s="7">
        <v>0.05</v>
      </c>
      <c r="P75" s="8">
        <f t="shared" si="2"/>
        <v>69.900000000000006</v>
      </c>
      <c r="Q75" s="9">
        <f t="shared" si="3"/>
        <v>1328.1</v>
      </c>
      <c r="R75" s="5">
        <v>26</v>
      </c>
      <c r="S75" s="5" t="s">
        <v>2032</v>
      </c>
      <c r="T75" s="5" t="s">
        <v>2036</v>
      </c>
    </row>
    <row r="76" spans="1:20" x14ac:dyDescent="0.25">
      <c r="A76" s="5" t="s">
        <v>89</v>
      </c>
      <c r="B76" s="10">
        <v>45459</v>
      </c>
      <c r="C76" s="5" t="s">
        <v>1015</v>
      </c>
      <c r="D76" s="11" t="s">
        <v>1095</v>
      </c>
      <c r="E76" s="5" t="s">
        <v>2131</v>
      </c>
      <c r="F76" s="5">
        <v>27</v>
      </c>
      <c r="G76" s="5" t="str" cm="1">
        <f t="array" ref="G76">_xlfn.IFS(F76&lt;12,"Child",F76&lt;18,"Teen",F76&lt;25,"Young",F76&lt;40,"Adult",F76&lt;60,"Middle Age",F76&gt;=60,"Old")</f>
        <v>Adult</v>
      </c>
      <c r="H76" s="5" t="s">
        <v>2044</v>
      </c>
      <c r="I76" s="5" t="s">
        <v>2053</v>
      </c>
      <c r="J76" s="5" t="s">
        <v>2022</v>
      </c>
      <c r="K76" s="5" t="str">
        <f>VLOOKUP(J76,Sheet2!$A$1:$B$11,2,FALSE)</f>
        <v>Sportswear</v>
      </c>
      <c r="L76" s="5">
        <v>1</v>
      </c>
      <c r="M76" s="6">
        <v>273</v>
      </c>
      <c r="N76" s="6">
        <v>273</v>
      </c>
      <c r="O76" s="7">
        <v>0.2</v>
      </c>
      <c r="P76" s="8">
        <f t="shared" si="2"/>
        <v>54.6</v>
      </c>
      <c r="Q76" s="9">
        <f t="shared" si="3"/>
        <v>218.4</v>
      </c>
      <c r="R76" s="5">
        <v>4</v>
      </c>
      <c r="S76" s="5" t="s">
        <v>2034</v>
      </c>
      <c r="T76" s="5" t="s">
        <v>2036</v>
      </c>
    </row>
    <row r="77" spans="1:20" x14ac:dyDescent="0.25">
      <c r="A77" s="5" t="s">
        <v>90</v>
      </c>
      <c r="B77" s="10">
        <v>45719</v>
      </c>
      <c r="C77" s="5" t="s">
        <v>1016</v>
      </c>
      <c r="D77" s="11" t="s">
        <v>1096</v>
      </c>
      <c r="E77" s="5" t="s">
        <v>2132</v>
      </c>
      <c r="F77" s="5">
        <v>20</v>
      </c>
      <c r="G77" s="5" t="str" cm="1">
        <f t="array" ref="G77">_xlfn.IFS(F77&lt;12,"Child",F77&lt;18,"Teen",F77&lt;25,"Young",F77&lt;40,"Adult",F77&lt;60,"Middle Age",F77&gt;=60,"Old")</f>
        <v>Young</v>
      </c>
      <c r="H77" s="5" t="s">
        <v>2043</v>
      </c>
      <c r="I77" s="5" t="s">
        <v>2015</v>
      </c>
      <c r="J77" s="5" t="s">
        <v>2024</v>
      </c>
      <c r="K77" s="5" t="str">
        <f>VLOOKUP(J77,Sheet2!$A$1:$B$11,2,FALSE)</f>
        <v>Fashion Accessories</v>
      </c>
      <c r="L77" s="5">
        <v>3</v>
      </c>
      <c r="M77" s="6">
        <v>443</v>
      </c>
      <c r="N77" s="6">
        <v>1329</v>
      </c>
      <c r="O77" s="7">
        <v>0.1</v>
      </c>
      <c r="P77" s="8">
        <f t="shared" si="2"/>
        <v>132.9</v>
      </c>
      <c r="Q77" s="9">
        <f t="shared" si="3"/>
        <v>1196.0999999999999</v>
      </c>
      <c r="R77" s="5">
        <v>23</v>
      </c>
      <c r="S77" s="5" t="s">
        <v>2034</v>
      </c>
      <c r="T77" s="5" t="s">
        <v>2036</v>
      </c>
    </row>
    <row r="78" spans="1:20" x14ac:dyDescent="0.25">
      <c r="A78" s="5" t="s">
        <v>91</v>
      </c>
      <c r="B78" s="10">
        <v>45404</v>
      </c>
      <c r="C78" s="5" t="s">
        <v>1016</v>
      </c>
      <c r="D78" s="11" t="s">
        <v>1097</v>
      </c>
      <c r="E78" s="5" t="s">
        <v>2133</v>
      </c>
      <c r="F78" s="5">
        <v>42</v>
      </c>
      <c r="G78" s="5" t="str" cm="1">
        <f t="array" ref="G78">_xlfn.IFS(F78&lt;12,"Child",F78&lt;18,"Teen",F78&lt;25,"Young",F78&lt;40,"Adult",F78&lt;60,"Middle Age",F78&gt;=60,"Old")</f>
        <v>Middle Age</v>
      </c>
      <c r="H78" s="5" t="s">
        <v>2043</v>
      </c>
      <c r="I78" s="5" t="s">
        <v>2048</v>
      </c>
      <c r="J78" s="5" t="s">
        <v>2025</v>
      </c>
      <c r="K78" s="5" t="str">
        <f>VLOOKUP(J78,Sheet2!$A$1:$B$11,2,FALSE)</f>
        <v>Formal Wear</v>
      </c>
      <c r="L78" s="5">
        <v>5</v>
      </c>
      <c r="M78" s="6">
        <v>995</v>
      </c>
      <c r="N78" s="6">
        <v>4975</v>
      </c>
      <c r="O78" s="7">
        <v>0.05</v>
      </c>
      <c r="P78" s="8">
        <f t="shared" si="2"/>
        <v>248.75</v>
      </c>
      <c r="Q78" s="9">
        <f t="shared" si="3"/>
        <v>4726.25</v>
      </c>
      <c r="R78" s="5">
        <v>94</v>
      </c>
      <c r="S78" s="5" t="s">
        <v>2033</v>
      </c>
      <c r="T78" s="5" t="s">
        <v>2035</v>
      </c>
    </row>
    <row r="79" spans="1:20" x14ac:dyDescent="0.25">
      <c r="A79" s="5" t="s">
        <v>92</v>
      </c>
      <c r="B79" s="10">
        <v>45413</v>
      </c>
      <c r="C79" s="5" t="s">
        <v>1017</v>
      </c>
      <c r="D79" s="11" t="s">
        <v>1098</v>
      </c>
      <c r="E79" s="5" t="s">
        <v>2134</v>
      </c>
      <c r="F79" s="5">
        <v>52</v>
      </c>
      <c r="G79" s="5" t="str" cm="1">
        <f t="array" ref="G79">_xlfn.IFS(F79&lt;12,"Child",F79&lt;18,"Teen",F79&lt;25,"Young",F79&lt;40,"Adult",F79&lt;60,"Middle Age",F79&gt;=60,"Old")</f>
        <v>Middle Age</v>
      </c>
      <c r="H79" s="5" t="s">
        <v>2044</v>
      </c>
      <c r="I79" s="5" t="s">
        <v>2046</v>
      </c>
      <c r="J79" s="5" t="s">
        <v>2016</v>
      </c>
      <c r="K79" s="5" t="str">
        <f>VLOOKUP(J79,Sheet2!$A$1:$B$11,2,FALSE)</f>
        <v>Winter Wear</v>
      </c>
      <c r="L79" s="5">
        <v>5</v>
      </c>
      <c r="M79" s="6">
        <v>1144</v>
      </c>
      <c r="N79" s="6">
        <v>5720</v>
      </c>
      <c r="O79" s="7">
        <v>0.15</v>
      </c>
      <c r="P79" s="8">
        <f t="shared" si="2"/>
        <v>858</v>
      </c>
      <c r="Q79" s="9">
        <f t="shared" si="3"/>
        <v>4862</v>
      </c>
      <c r="R79" s="5">
        <v>97</v>
      </c>
      <c r="S79" s="5" t="s">
        <v>2034</v>
      </c>
      <c r="T79" s="5" t="s">
        <v>2037</v>
      </c>
    </row>
    <row r="80" spans="1:20" x14ac:dyDescent="0.25">
      <c r="A80" s="5" t="s">
        <v>93</v>
      </c>
      <c r="B80" s="10">
        <v>45357</v>
      </c>
      <c r="C80" s="5" t="s">
        <v>1017</v>
      </c>
      <c r="D80" s="11" t="s">
        <v>1099</v>
      </c>
      <c r="E80" s="5" t="s">
        <v>2135</v>
      </c>
      <c r="F80" s="5">
        <v>38</v>
      </c>
      <c r="G80" s="5" t="str" cm="1">
        <f t="array" ref="G80">_xlfn.IFS(F80&lt;12,"Child",F80&lt;18,"Teen",F80&lt;25,"Young",F80&lt;40,"Adult",F80&lt;60,"Middle Age",F80&gt;=60,"Old")</f>
        <v>Adult</v>
      </c>
      <c r="H80" s="5" t="s">
        <v>2044</v>
      </c>
      <c r="I80" s="5" t="s">
        <v>2051</v>
      </c>
      <c r="J80" s="5" t="s">
        <v>2020</v>
      </c>
      <c r="K80" s="5" t="str">
        <f>VLOOKUP(J80,Sheet2!$A$1:$B$11,2,FALSE)</f>
        <v>Summer Wear</v>
      </c>
      <c r="L80" s="5">
        <v>2</v>
      </c>
      <c r="M80" s="6">
        <v>773</v>
      </c>
      <c r="N80" s="6">
        <v>1546</v>
      </c>
      <c r="O80" s="7">
        <v>0.05</v>
      </c>
      <c r="P80" s="8">
        <f t="shared" si="2"/>
        <v>77.300000000000011</v>
      </c>
      <c r="Q80" s="9">
        <f t="shared" si="3"/>
        <v>1468.7</v>
      </c>
      <c r="R80" s="5">
        <v>29</v>
      </c>
      <c r="S80" s="5" t="s">
        <v>2033</v>
      </c>
      <c r="T80" s="5" t="s">
        <v>2036</v>
      </c>
    </row>
    <row r="81" spans="1:20" x14ac:dyDescent="0.25">
      <c r="A81" s="5" t="s">
        <v>94</v>
      </c>
      <c r="B81" s="10">
        <v>45470</v>
      </c>
      <c r="C81" s="5" t="s">
        <v>1018</v>
      </c>
      <c r="D81" s="11" t="s">
        <v>1100</v>
      </c>
      <c r="E81" s="5" t="s">
        <v>2136</v>
      </c>
      <c r="F81" s="5">
        <v>55</v>
      </c>
      <c r="G81" s="5" t="str" cm="1">
        <f t="array" ref="G81">_xlfn.IFS(F81&lt;12,"Child",F81&lt;18,"Teen",F81&lt;25,"Young",F81&lt;40,"Adult",F81&lt;60,"Middle Age",F81&gt;=60,"Old")</f>
        <v>Middle Age</v>
      </c>
      <c r="H81" s="5" t="s">
        <v>2043</v>
      </c>
      <c r="I81" s="5" t="s">
        <v>2015</v>
      </c>
      <c r="J81" s="5" t="s">
        <v>2023</v>
      </c>
      <c r="K81" s="5" t="str">
        <f>VLOOKUP(J81,Sheet2!$A$1:$B$11,2,FALSE)</f>
        <v>Formal Wear</v>
      </c>
      <c r="L81" s="5">
        <v>3</v>
      </c>
      <c r="M81" s="6">
        <v>542</v>
      </c>
      <c r="N81" s="6">
        <v>1626</v>
      </c>
      <c r="O81" s="7">
        <v>0.1</v>
      </c>
      <c r="P81" s="8">
        <f t="shared" si="2"/>
        <v>162.60000000000002</v>
      </c>
      <c r="Q81" s="9">
        <f t="shared" si="3"/>
        <v>1463.4</v>
      </c>
      <c r="R81" s="5">
        <v>29</v>
      </c>
      <c r="S81" s="5" t="s">
        <v>2034</v>
      </c>
      <c r="T81" s="5" t="s">
        <v>2036</v>
      </c>
    </row>
    <row r="82" spans="1:20" x14ac:dyDescent="0.25">
      <c r="A82" s="5" t="s">
        <v>95</v>
      </c>
      <c r="B82" s="10">
        <v>45437</v>
      </c>
      <c r="C82" s="5" t="s">
        <v>1020</v>
      </c>
      <c r="D82" s="11" t="s">
        <v>1101</v>
      </c>
      <c r="E82" s="5" t="s">
        <v>2137</v>
      </c>
      <c r="F82" s="5">
        <v>23</v>
      </c>
      <c r="G82" s="5" t="str" cm="1">
        <f t="array" ref="G82">_xlfn.IFS(F82&lt;12,"Child",F82&lt;18,"Teen",F82&lt;25,"Young",F82&lt;40,"Adult",F82&lt;60,"Middle Age",F82&gt;=60,"Old")</f>
        <v>Young</v>
      </c>
      <c r="H82" s="5" t="s">
        <v>2044</v>
      </c>
      <c r="I82" s="5" t="s">
        <v>2048</v>
      </c>
      <c r="J82" s="5" t="s">
        <v>2024</v>
      </c>
      <c r="K82" s="5" t="str">
        <f>VLOOKUP(J82,Sheet2!$A$1:$B$11,2,FALSE)</f>
        <v>Fashion Accessories</v>
      </c>
      <c r="L82" s="5">
        <v>2</v>
      </c>
      <c r="M82" s="6">
        <v>471</v>
      </c>
      <c r="N82" s="6">
        <v>942</v>
      </c>
      <c r="O82" s="7">
        <v>0</v>
      </c>
      <c r="P82" s="8">
        <f t="shared" si="2"/>
        <v>0</v>
      </c>
      <c r="Q82" s="9">
        <f t="shared" si="3"/>
        <v>942</v>
      </c>
      <c r="R82" s="5">
        <v>18</v>
      </c>
      <c r="S82" s="5" t="s">
        <v>2034</v>
      </c>
      <c r="T82" s="5" t="s">
        <v>2035</v>
      </c>
    </row>
    <row r="83" spans="1:20" x14ac:dyDescent="0.25">
      <c r="A83" s="5" t="s">
        <v>96</v>
      </c>
      <c r="B83" s="10">
        <v>45717</v>
      </c>
      <c r="C83" s="5" t="s">
        <v>1020</v>
      </c>
      <c r="D83" s="11" t="s">
        <v>1102</v>
      </c>
      <c r="E83" s="5" t="s">
        <v>2138</v>
      </c>
      <c r="F83" s="5">
        <v>47</v>
      </c>
      <c r="G83" s="5" t="str" cm="1">
        <f t="array" ref="G83">_xlfn.IFS(F83&lt;12,"Child",F83&lt;18,"Teen",F83&lt;25,"Young",F83&lt;40,"Adult",F83&lt;60,"Middle Age",F83&gt;=60,"Old")</f>
        <v>Middle Age</v>
      </c>
      <c r="H83" s="5" t="s">
        <v>2044</v>
      </c>
      <c r="I83" s="5" t="s">
        <v>2053</v>
      </c>
      <c r="J83" s="5" t="s">
        <v>2016</v>
      </c>
      <c r="K83" s="5" t="str">
        <f>VLOOKUP(J83,Sheet2!$A$1:$B$11,2,FALSE)</f>
        <v>Winter Wear</v>
      </c>
      <c r="L83" s="5">
        <v>5</v>
      </c>
      <c r="M83" s="6">
        <v>1188</v>
      </c>
      <c r="N83" s="6">
        <v>5940</v>
      </c>
      <c r="O83" s="7">
        <v>0</v>
      </c>
      <c r="P83" s="8">
        <f t="shared" si="2"/>
        <v>0</v>
      </c>
      <c r="Q83" s="9">
        <f t="shared" si="3"/>
        <v>5940</v>
      </c>
      <c r="R83" s="5">
        <v>118</v>
      </c>
      <c r="S83" s="5" t="s">
        <v>2034</v>
      </c>
      <c r="T83" s="5" t="s">
        <v>2035</v>
      </c>
    </row>
    <row r="84" spans="1:20" x14ac:dyDescent="0.25">
      <c r="A84" s="5" t="s">
        <v>97</v>
      </c>
      <c r="B84" s="10">
        <v>45688</v>
      </c>
      <c r="C84" s="5" t="s">
        <v>1014</v>
      </c>
      <c r="D84" s="11" t="s">
        <v>1103</v>
      </c>
      <c r="E84" s="5" t="s">
        <v>2139</v>
      </c>
      <c r="F84" s="5">
        <v>37</v>
      </c>
      <c r="G84" s="5" t="str" cm="1">
        <f t="array" ref="G84">_xlfn.IFS(F84&lt;12,"Child",F84&lt;18,"Teen",F84&lt;25,"Young",F84&lt;40,"Adult",F84&lt;60,"Middle Age",F84&gt;=60,"Old")</f>
        <v>Adult</v>
      </c>
      <c r="H84" s="5" t="s">
        <v>2044</v>
      </c>
      <c r="I84" s="5" t="s">
        <v>2048</v>
      </c>
      <c r="J84" s="5" t="s">
        <v>2020</v>
      </c>
      <c r="K84" s="5" t="str">
        <f>VLOOKUP(J84,Sheet2!$A$1:$B$11,2,FALSE)</f>
        <v>Summer Wear</v>
      </c>
      <c r="L84" s="5">
        <v>2</v>
      </c>
      <c r="M84" s="6">
        <v>405</v>
      </c>
      <c r="N84" s="6">
        <v>810</v>
      </c>
      <c r="O84" s="7">
        <v>0.05</v>
      </c>
      <c r="P84" s="8">
        <f t="shared" si="2"/>
        <v>40.5</v>
      </c>
      <c r="Q84" s="9">
        <f t="shared" si="3"/>
        <v>769.5</v>
      </c>
      <c r="R84" s="5">
        <v>15</v>
      </c>
      <c r="S84" s="5" t="s">
        <v>2032</v>
      </c>
      <c r="T84" s="5" t="s">
        <v>2035</v>
      </c>
    </row>
    <row r="85" spans="1:20" x14ac:dyDescent="0.25">
      <c r="A85" s="5" t="s">
        <v>98</v>
      </c>
      <c r="B85" s="10">
        <v>45684</v>
      </c>
      <c r="C85" s="5" t="s">
        <v>1016</v>
      </c>
      <c r="D85" s="11" t="s">
        <v>1104</v>
      </c>
      <c r="E85" s="5" t="s">
        <v>2140</v>
      </c>
      <c r="F85" s="5">
        <v>45</v>
      </c>
      <c r="G85" s="5" t="str" cm="1">
        <f t="array" ref="G85">_xlfn.IFS(F85&lt;12,"Child",F85&lt;18,"Teen",F85&lt;25,"Young",F85&lt;40,"Adult",F85&lt;60,"Middle Age",F85&gt;=60,"Old")</f>
        <v>Middle Age</v>
      </c>
      <c r="H85" s="5" t="s">
        <v>2043</v>
      </c>
      <c r="I85" s="5" t="s">
        <v>2046</v>
      </c>
      <c r="J85" s="5" t="s">
        <v>2024</v>
      </c>
      <c r="K85" s="5" t="str">
        <f>VLOOKUP(J85,Sheet2!$A$1:$B$11,2,FALSE)</f>
        <v>Fashion Accessories</v>
      </c>
      <c r="L85" s="5">
        <v>1</v>
      </c>
      <c r="M85" s="6">
        <v>325</v>
      </c>
      <c r="N85" s="6">
        <v>325</v>
      </c>
      <c r="O85" s="7">
        <v>0.1</v>
      </c>
      <c r="P85" s="8">
        <f t="shared" si="2"/>
        <v>32.5</v>
      </c>
      <c r="Q85" s="9">
        <f t="shared" si="3"/>
        <v>292.5</v>
      </c>
      <c r="R85" s="5">
        <v>5</v>
      </c>
      <c r="S85" s="5" t="s">
        <v>2032</v>
      </c>
      <c r="T85" s="5" t="s">
        <v>2037</v>
      </c>
    </row>
    <row r="86" spans="1:20" x14ac:dyDescent="0.25">
      <c r="A86" s="5" t="s">
        <v>99</v>
      </c>
      <c r="B86" s="10">
        <v>45427</v>
      </c>
      <c r="C86" s="5" t="s">
        <v>1017</v>
      </c>
      <c r="D86" s="11" t="s">
        <v>1105</v>
      </c>
      <c r="E86" s="5" t="s">
        <v>2141</v>
      </c>
      <c r="F86" s="5">
        <v>45</v>
      </c>
      <c r="G86" s="5" t="str" cm="1">
        <f t="array" ref="G86">_xlfn.IFS(F86&lt;12,"Child",F86&lt;18,"Teen",F86&lt;25,"Young",F86&lt;40,"Adult",F86&lt;60,"Middle Age",F86&gt;=60,"Old")</f>
        <v>Middle Age</v>
      </c>
      <c r="H86" s="5" t="s">
        <v>2043</v>
      </c>
      <c r="I86" s="5" t="s">
        <v>2045</v>
      </c>
      <c r="J86" s="5" t="s">
        <v>2019</v>
      </c>
      <c r="K86" s="5" t="str">
        <f>VLOOKUP(J86,Sheet2!$A$1:$B$11,2,FALSE)</f>
        <v>Formal Wear</v>
      </c>
      <c r="L86" s="5">
        <v>5</v>
      </c>
      <c r="M86" s="6">
        <v>426</v>
      </c>
      <c r="N86" s="6">
        <v>2130</v>
      </c>
      <c r="O86" s="7">
        <v>0.1</v>
      </c>
      <c r="P86" s="8">
        <f t="shared" si="2"/>
        <v>213</v>
      </c>
      <c r="Q86" s="9">
        <f t="shared" si="3"/>
        <v>1917</v>
      </c>
      <c r="R86" s="5">
        <v>38</v>
      </c>
      <c r="S86" s="5" t="s">
        <v>2032</v>
      </c>
      <c r="T86" s="5" t="s">
        <v>2037</v>
      </c>
    </row>
    <row r="87" spans="1:20" x14ac:dyDescent="0.25">
      <c r="A87" s="5" t="s">
        <v>100</v>
      </c>
      <c r="B87" s="10">
        <v>45544</v>
      </c>
      <c r="C87" s="5" t="s">
        <v>1016</v>
      </c>
      <c r="D87" s="11" t="s">
        <v>1106</v>
      </c>
      <c r="E87" s="5" t="s">
        <v>2142</v>
      </c>
      <c r="F87" s="5">
        <v>56</v>
      </c>
      <c r="G87" s="5" t="str" cm="1">
        <f t="array" ref="G87">_xlfn.IFS(F87&lt;12,"Child",F87&lt;18,"Teen",F87&lt;25,"Young",F87&lt;40,"Adult",F87&lt;60,"Middle Age",F87&gt;=60,"Old")</f>
        <v>Middle Age</v>
      </c>
      <c r="H87" s="5" t="s">
        <v>2043</v>
      </c>
      <c r="I87" s="5" t="s">
        <v>2048</v>
      </c>
      <c r="J87" s="5" t="s">
        <v>2017</v>
      </c>
      <c r="K87" s="5" t="str">
        <f>VLOOKUP(J87,Sheet2!$A$1:$B$11,2,FALSE)</f>
        <v>Casual Wear</v>
      </c>
      <c r="L87" s="5">
        <v>3</v>
      </c>
      <c r="M87" s="6">
        <v>242</v>
      </c>
      <c r="N87" s="6">
        <v>726</v>
      </c>
      <c r="O87" s="7">
        <v>0</v>
      </c>
      <c r="P87" s="8">
        <f t="shared" si="2"/>
        <v>0</v>
      </c>
      <c r="Q87" s="9">
        <f t="shared" si="3"/>
        <v>726</v>
      </c>
      <c r="R87" s="5">
        <v>14</v>
      </c>
      <c r="S87" s="5" t="s">
        <v>2034</v>
      </c>
      <c r="T87" s="5" t="s">
        <v>2037</v>
      </c>
    </row>
    <row r="88" spans="1:20" x14ac:dyDescent="0.25">
      <c r="A88" s="5" t="s">
        <v>101</v>
      </c>
      <c r="B88" s="10">
        <v>45652</v>
      </c>
      <c r="C88" s="5" t="s">
        <v>1018</v>
      </c>
      <c r="D88" s="11" t="s">
        <v>1107</v>
      </c>
      <c r="E88" s="5" t="s">
        <v>2143</v>
      </c>
      <c r="F88" s="5">
        <v>43</v>
      </c>
      <c r="G88" s="5" t="str" cm="1">
        <f t="array" ref="G88">_xlfn.IFS(F88&lt;12,"Child",F88&lt;18,"Teen",F88&lt;25,"Young",F88&lt;40,"Adult",F88&lt;60,"Middle Age",F88&gt;=60,"Old")</f>
        <v>Middle Age</v>
      </c>
      <c r="H88" s="5" t="s">
        <v>2043</v>
      </c>
      <c r="I88" s="5" t="s">
        <v>2046</v>
      </c>
      <c r="J88" s="5" t="s">
        <v>2019</v>
      </c>
      <c r="K88" s="5" t="str">
        <f>VLOOKUP(J88,Sheet2!$A$1:$B$11,2,FALSE)</f>
        <v>Formal Wear</v>
      </c>
      <c r="L88" s="5">
        <v>1</v>
      </c>
      <c r="M88" s="6">
        <v>769</v>
      </c>
      <c r="N88" s="6">
        <v>769</v>
      </c>
      <c r="O88" s="7">
        <v>0.05</v>
      </c>
      <c r="P88" s="8">
        <f t="shared" si="2"/>
        <v>38.450000000000003</v>
      </c>
      <c r="Q88" s="9">
        <f t="shared" si="3"/>
        <v>730.55</v>
      </c>
      <c r="R88" s="5">
        <v>14</v>
      </c>
      <c r="S88" s="5" t="s">
        <v>2032</v>
      </c>
      <c r="T88" s="5" t="s">
        <v>2037</v>
      </c>
    </row>
    <row r="89" spans="1:20" x14ac:dyDescent="0.25">
      <c r="A89" s="5" t="s">
        <v>102</v>
      </c>
      <c r="B89" s="10">
        <v>45656</v>
      </c>
      <c r="C89" s="5" t="s">
        <v>1016</v>
      </c>
      <c r="D89" s="11" t="s">
        <v>1108</v>
      </c>
      <c r="E89" s="5" t="s">
        <v>2144</v>
      </c>
      <c r="F89" s="5">
        <v>40</v>
      </c>
      <c r="G89" s="5" t="str" cm="1">
        <f t="array" ref="G89">_xlfn.IFS(F89&lt;12,"Child",F89&lt;18,"Teen",F89&lt;25,"Young",F89&lt;40,"Adult",F89&lt;60,"Middle Age",F89&gt;=60,"Old")</f>
        <v>Middle Age</v>
      </c>
      <c r="H89" s="5" t="s">
        <v>2044</v>
      </c>
      <c r="I89" s="5" t="s">
        <v>2049</v>
      </c>
      <c r="J89" s="5" t="s">
        <v>2018</v>
      </c>
      <c r="K89" s="5" t="str">
        <f>VLOOKUP(J89,Sheet2!$A$1:$B$11,2,FALSE)</f>
        <v>Sportswear</v>
      </c>
      <c r="L89" s="5">
        <v>4</v>
      </c>
      <c r="M89" s="6">
        <v>529</v>
      </c>
      <c r="N89" s="6">
        <v>2116</v>
      </c>
      <c r="O89" s="7">
        <v>0.05</v>
      </c>
      <c r="P89" s="8">
        <f t="shared" si="2"/>
        <v>105.80000000000001</v>
      </c>
      <c r="Q89" s="9">
        <f t="shared" si="3"/>
        <v>2010.2</v>
      </c>
      <c r="R89" s="5">
        <v>40</v>
      </c>
      <c r="S89" s="5" t="s">
        <v>2033</v>
      </c>
      <c r="T89" s="5" t="s">
        <v>2035</v>
      </c>
    </row>
    <row r="90" spans="1:20" x14ac:dyDescent="0.25">
      <c r="A90" s="5" t="s">
        <v>103</v>
      </c>
      <c r="B90" s="10">
        <v>45501</v>
      </c>
      <c r="C90" s="5" t="s">
        <v>1015</v>
      </c>
      <c r="D90" s="11" t="s">
        <v>1109</v>
      </c>
      <c r="E90" s="5" t="s">
        <v>2145</v>
      </c>
      <c r="F90" s="5">
        <v>20</v>
      </c>
      <c r="G90" s="5" t="str" cm="1">
        <f t="array" ref="G90">_xlfn.IFS(F90&lt;12,"Child",F90&lt;18,"Teen",F90&lt;25,"Young",F90&lt;40,"Adult",F90&lt;60,"Middle Age",F90&gt;=60,"Old")</f>
        <v>Young</v>
      </c>
      <c r="H90" s="5" t="s">
        <v>2044</v>
      </c>
      <c r="I90" s="5" t="s">
        <v>2045</v>
      </c>
      <c r="J90" s="5" t="s">
        <v>2016</v>
      </c>
      <c r="K90" s="5" t="str">
        <f>VLOOKUP(J90,Sheet2!$A$1:$B$11,2,FALSE)</f>
        <v>Winter Wear</v>
      </c>
      <c r="L90" s="5">
        <v>1</v>
      </c>
      <c r="M90" s="6">
        <v>370</v>
      </c>
      <c r="N90" s="6">
        <v>370</v>
      </c>
      <c r="O90" s="7">
        <v>0.15</v>
      </c>
      <c r="P90" s="8">
        <f t="shared" si="2"/>
        <v>55.5</v>
      </c>
      <c r="Q90" s="9">
        <f t="shared" si="3"/>
        <v>314.5</v>
      </c>
      <c r="R90" s="5">
        <v>6</v>
      </c>
      <c r="S90" s="5" t="s">
        <v>2032</v>
      </c>
      <c r="T90" s="5" t="s">
        <v>2035</v>
      </c>
    </row>
    <row r="91" spans="1:20" x14ac:dyDescent="0.25">
      <c r="A91" s="5" t="s">
        <v>104</v>
      </c>
      <c r="B91" s="10">
        <v>45425</v>
      </c>
      <c r="C91" s="5" t="s">
        <v>1016</v>
      </c>
      <c r="D91" s="11" t="s">
        <v>1110</v>
      </c>
      <c r="E91" s="5" t="s">
        <v>2146</v>
      </c>
      <c r="F91" s="5">
        <v>53</v>
      </c>
      <c r="G91" s="5" t="str" cm="1">
        <f t="array" ref="G91">_xlfn.IFS(F91&lt;12,"Child",F91&lt;18,"Teen",F91&lt;25,"Young",F91&lt;40,"Adult",F91&lt;60,"Middle Age",F91&gt;=60,"Old")</f>
        <v>Middle Age</v>
      </c>
      <c r="H91" s="5" t="s">
        <v>2044</v>
      </c>
      <c r="I91" s="5" t="s">
        <v>2052</v>
      </c>
      <c r="J91" s="5" t="s">
        <v>2016</v>
      </c>
      <c r="K91" s="5" t="str">
        <f>VLOOKUP(J91,Sheet2!$A$1:$B$11,2,FALSE)</f>
        <v>Winter Wear</v>
      </c>
      <c r="L91" s="5">
        <v>2</v>
      </c>
      <c r="M91" s="6">
        <v>1176</v>
      </c>
      <c r="N91" s="6">
        <v>2352</v>
      </c>
      <c r="O91" s="7">
        <v>0.2</v>
      </c>
      <c r="P91" s="8">
        <f t="shared" si="2"/>
        <v>470.40000000000003</v>
      </c>
      <c r="Q91" s="9">
        <f t="shared" si="3"/>
        <v>1881.6</v>
      </c>
      <c r="R91" s="5">
        <v>37</v>
      </c>
      <c r="S91" s="5" t="s">
        <v>2034</v>
      </c>
      <c r="T91" s="5" t="s">
        <v>2036</v>
      </c>
    </row>
    <row r="92" spans="1:20" x14ac:dyDescent="0.25">
      <c r="A92" s="5" t="s">
        <v>105</v>
      </c>
      <c r="B92" s="10">
        <v>45620</v>
      </c>
      <c r="C92" s="5" t="s">
        <v>1015</v>
      </c>
      <c r="D92" s="11" t="s">
        <v>1111</v>
      </c>
      <c r="E92" s="5" t="s">
        <v>2147</v>
      </c>
      <c r="F92" s="5">
        <v>25</v>
      </c>
      <c r="G92" s="5" t="str" cm="1">
        <f t="array" ref="G92">_xlfn.IFS(F92&lt;12,"Child",F92&lt;18,"Teen",F92&lt;25,"Young",F92&lt;40,"Adult",F92&lt;60,"Middle Age",F92&gt;=60,"Old")</f>
        <v>Adult</v>
      </c>
      <c r="H92" s="5" t="s">
        <v>2044</v>
      </c>
      <c r="I92" s="5" t="s">
        <v>2051</v>
      </c>
      <c r="J92" s="5" t="s">
        <v>2020</v>
      </c>
      <c r="K92" s="5" t="str">
        <f>VLOOKUP(J92,Sheet2!$A$1:$B$11,2,FALSE)</f>
        <v>Summer Wear</v>
      </c>
      <c r="L92" s="5">
        <v>1</v>
      </c>
      <c r="M92" s="6">
        <v>1079</v>
      </c>
      <c r="N92" s="6">
        <v>1079</v>
      </c>
      <c r="O92" s="7">
        <v>0</v>
      </c>
      <c r="P92" s="8">
        <f t="shared" si="2"/>
        <v>0</v>
      </c>
      <c r="Q92" s="9">
        <f t="shared" si="3"/>
        <v>1079</v>
      </c>
      <c r="R92" s="5">
        <v>21</v>
      </c>
      <c r="S92" s="5" t="s">
        <v>2033</v>
      </c>
      <c r="T92" s="5" t="s">
        <v>2037</v>
      </c>
    </row>
    <row r="93" spans="1:20" x14ac:dyDescent="0.25">
      <c r="A93" s="5" t="s">
        <v>106</v>
      </c>
      <c r="B93" s="10">
        <v>45720</v>
      </c>
      <c r="C93" s="5" t="s">
        <v>1019</v>
      </c>
      <c r="D93" s="11" t="s">
        <v>1112</v>
      </c>
      <c r="E93" s="5" t="s">
        <v>2148</v>
      </c>
      <c r="F93" s="5">
        <v>57</v>
      </c>
      <c r="G93" s="5" t="str" cm="1">
        <f t="array" ref="G93">_xlfn.IFS(F93&lt;12,"Child",F93&lt;18,"Teen",F93&lt;25,"Young",F93&lt;40,"Adult",F93&lt;60,"Middle Age",F93&gt;=60,"Old")</f>
        <v>Middle Age</v>
      </c>
      <c r="H93" s="5" t="s">
        <v>2044</v>
      </c>
      <c r="I93" s="5" t="s">
        <v>2015</v>
      </c>
      <c r="J93" s="5" t="s">
        <v>2019</v>
      </c>
      <c r="K93" s="5" t="str">
        <f>VLOOKUP(J93,Sheet2!$A$1:$B$11,2,FALSE)</f>
        <v>Formal Wear</v>
      </c>
      <c r="L93" s="5">
        <v>1</v>
      </c>
      <c r="M93" s="6">
        <v>229</v>
      </c>
      <c r="N93" s="6">
        <v>229</v>
      </c>
      <c r="O93" s="7">
        <v>0.2</v>
      </c>
      <c r="P93" s="8">
        <f t="shared" si="2"/>
        <v>45.800000000000004</v>
      </c>
      <c r="Q93" s="9">
        <f t="shared" si="3"/>
        <v>183.2</v>
      </c>
      <c r="R93" s="5">
        <v>3</v>
      </c>
      <c r="S93" s="5" t="s">
        <v>2033</v>
      </c>
      <c r="T93" s="5" t="s">
        <v>2036</v>
      </c>
    </row>
    <row r="94" spans="1:20" x14ac:dyDescent="0.25">
      <c r="A94" s="5" t="s">
        <v>107</v>
      </c>
      <c r="B94" s="10">
        <v>45420</v>
      </c>
      <c r="C94" s="5" t="s">
        <v>1017</v>
      </c>
      <c r="D94" s="11" t="s">
        <v>1113</v>
      </c>
      <c r="E94" s="5" t="s">
        <v>2149</v>
      </c>
      <c r="F94" s="5">
        <v>22</v>
      </c>
      <c r="G94" s="5" t="str" cm="1">
        <f t="array" ref="G94">_xlfn.IFS(F94&lt;12,"Child",F94&lt;18,"Teen",F94&lt;25,"Young",F94&lt;40,"Adult",F94&lt;60,"Middle Age",F94&gt;=60,"Old")</f>
        <v>Young</v>
      </c>
      <c r="H94" s="5" t="s">
        <v>2043</v>
      </c>
      <c r="I94" s="5" t="s">
        <v>2050</v>
      </c>
      <c r="J94" s="5" t="s">
        <v>2025</v>
      </c>
      <c r="K94" s="5" t="str">
        <f>VLOOKUP(J94,Sheet2!$A$1:$B$11,2,FALSE)</f>
        <v>Formal Wear</v>
      </c>
      <c r="L94" s="5">
        <v>4</v>
      </c>
      <c r="M94" s="6">
        <v>266</v>
      </c>
      <c r="N94" s="6">
        <v>1064</v>
      </c>
      <c r="O94" s="7">
        <v>0.05</v>
      </c>
      <c r="P94" s="8">
        <f t="shared" si="2"/>
        <v>53.2</v>
      </c>
      <c r="Q94" s="9">
        <f t="shared" si="3"/>
        <v>1010.8</v>
      </c>
      <c r="R94" s="5">
        <v>20</v>
      </c>
      <c r="S94" s="5" t="s">
        <v>2033</v>
      </c>
      <c r="T94" s="5" t="s">
        <v>2035</v>
      </c>
    </row>
    <row r="95" spans="1:20" x14ac:dyDescent="0.25">
      <c r="A95" s="5" t="s">
        <v>108</v>
      </c>
      <c r="B95" s="10">
        <v>45482</v>
      </c>
      <c r="C95" s="5" t="s">
        <v>1019</v>
      </c>
      <c r="D95" s="11" t="s">
        <v>1114</v>
      </c>
      <c r="E95" s="5" t="s">
        <v>2150</v>
      </c>
      <c r="F95" s="5">
        <v>45</v>
      </c>
      <c r="G95" s="5" t="str" cm="1">
        <f t="array" ref="G95">_xlfn.IFS(F95&lt;12,"Child",F95&lt;18,"Teen",F95&lt;25,"Young",F95&lt;40,"Adult",F95&lt;60,"Middle Age",F95&gt;=60,"Old")</f>
        <v>Middle Age</v>
      </c>
      <c r="H95" s="5" t="s">
        <v>2043</v>
      </c>
      <c r="I95" s="5" t="s">
        <v>2045</v>
      </c>
      <c r="J95" s="5" t="s">
        <v>2019</v>
      </c>
      <c r="K95" s="5" t="str">
        <f>VLOOKUP(J95,Sheet2!$A$1:$B$11,2,FALSE)</f>
        <v>Formal Wear</v>
      </c>
      <c r="L95" s="5">
        <v>4</v>
      </c>
      <c r="M95" s="6">
        <v>1016</v>
      </c>
      <c r="N95" s="6">
        <v>4064</v>
      </c>
      <c r="O95" s="7">
        <v>0.15</v>
      </c>
      <c r="P95" s="8">
        <f t="shared" si="2"/>
        <v>609.6</v>
      </c>
      <c r="Q95" s="9">
        <f t="shared" si="3"/>
        <v>3454.4</v>
      </c>
      <c r="R95" s="5">
        <v>69</v>
      </c>
      <c r="S95" s="5" t="s">
        <v>2033</v>
      </c>
      <c r="T95" s="5" t="s">
        <v>2036</v>
      </c>
    </row>
    <row r="96" spans="1:20" x14ac:dyDescent="0.25">
      <c r="A96" s="5" t="s">
        <v>109</v>
      </c>
      <c r="B96" s="10">
        <v>45552</v>
      </c>
      <c r="C96" s="5" t="s">
        <v>1019</v>
      </c>
      <c r="D96" s="11" t="s">
        <v>1115</v>
      </c>
      <c r="E96" s="5" t="s">
        <v>2151</v>
      </c>
      <c r="F96" s="5">
        <v>45</v>
      </c>
      <c r="G96" s="5" t="str" cm="1">
        <f t="array" ref="G96">_xlfn.IFS(F96&lt;12,"Child",F96&lt;18,"Teen",F96&lt;25,"Young",F96&lt;40,"Adult",F96&lt;60,"Middle Age",F96&gt;=60,"Old")</f>
        <v>Middle Age</v>
      </c>
      <c r="H96" s="5" t="s">
        <v>2043</v>
      </c>
      <c r="I96" s="5" t="s">
        <v>2053</v>
      </c>
      <c r="J96" s="5" t="s">
        <v>2023</v>
      </c>
      <c r="K96" s="5" t="str">
        <f>VLOOKUP(J96,Sheet2!$A$1:$B$11,2,FALSE)</f>
        <v>Formal Wear</v>
      </c>
      <c r="L96" s="5">
        <v>4</v>
      </c>
      <c r="M96" s="6">
        <v>1092</v>
      </c>
      <c r="N96" s="6">
        <v>4368</v>
      </c>
      <c r="O96" s="7">
        <v>0.15</v>
      </c>
      <c r="P96" s="8">
        <f t="shared" si="2"/>
        <v>655.19999999999993</v>
      </c>
      <c r="Q96" s="9">
        <f t="shared" si="3"/>
        <v>3712.8</v>
      </c>
      <c r="R96" s="5">
        <v>74</v>
      </c>
      <c r="S96" s="5" t="s">
        <v>2032</v>
      </c>
      <c r="T96" s="5" t="s">
        <v>2036</v>
      </c>
    </row>
    <row r="97" spans="1:20" x14ac:dyDescent="0.25">
      <c r="A97" s="5" t="s">
        <v>110</v>
      </c>
      <c r="B97" s="10">
        <v>45417</v>
      </c>
      <c r="C97" s="5" t="s">
        <v>1015</v>
      </c>
      <c r="D97" s="11" t="s">
        <v>1116</v>
      </c>
      <c r="E97" s="5" t="s">
        <v>2152</v>
      </c>
      <c r="F97" s="5">
        <v>18</v>
      </c>
      <c r="G97" s="5" t="str" cm="1">
        <f t="array" ref="G97">_xlfn.IFS(F97&lt;12,"Child",F97&lt;18,"Teen",F97&lt;25,"Young",F97&lt;40,"Adult",F97&lt;60,"Middle Age",F97&gt;=60,"Old")</f>
        <v>Young</v>
      </c>
      <c r="H97" s="5" t="s">
        <v>2043</v>
      </c>
      <c r="I97" s="5" t="s">
        <v>2045</v>
      </c>
      <c r="J97" s="5" t="s">
        <v>2017</v>
      </c>
      <c r="K97" s="5" t="str">
        <f>VLOOKUP(J97,Sheet2!$A$1:$B$11,2,FALSE)</f>
        <v>Casual Wear</v>
      </c>
      <c r="L97" s="5">
        <v>3</v>
      </c>
      <c r="M97" s="6">
        <v>496</v>
      </c>
      <c r="N97" s="6">
        <v>1488</v>
      </c>
      <c r="O97" s="7">
        <v>0</v>
      </c>
      <c r="P97" s="8">
        <f t="shared" si="2"/>
        <v>0</v>
      </c>
      <c r="Q97" s="9">
        <f t="shared" si="3"/>
        <v>1488</v>
      </c>
      <c r="R97" s="5">
        <v>29</v>
      </c>
      <c r="S97" s="5" t="s">
        <v>2032</v>
      </c>
      <c r="T97" s="5" t="s">
        <v>2037</v>
      </c>
    </row>
    <row r="98" spans="1:20" x14ac:dyDescent="0.25">
      <c r="A98" s="5" t="s">
        <v>111</v>
      </c>
      <c r="B98" s="10">
        <v>45527</v>
      </c>
      <c r="C98" s="5" t="s">
        <v>1014</v>
      </c>
      <c r="D98" s="11" t="s">
        <v>1117</v>
      </c>
      <c r="E98" s="5" t="s">
        <v>2153</v>
      </c>
      <c r="F98" s="5">
        <v>54</v>
      </c>
      <c r="G98" s="5" t="str" cm="1">
        <f t="array" ref="G98">_xlfn.IFS(F98&lt;12,"Child",F98&lt;18,"Teen",F98&lt;25,"Young",F98&lt;40,"Adult",F98&lt;60,"Middle Age",F98&gt;=60,"Old")</f>
        <v>Middle Age</v>
      </c>
      <c r="H98" s="5" t="s">
        <v>2043</v>
      </c>
      <c r="I98" s="5" t="s">
        <v>2049</v>
      </c>
      <c r="J98" s="5" t="s">
        <v>2019</v>
      </c>
      <c r="K98" s="5" t="str">
        <f>VLOOKUP(J98,Sheet2!$A$1:$B$11,2,FALSE)</f>
        <v>Formal Wear</v>
      </c>
      <c r="L98" s="5">
        <v>3</v>
      </c>
      <c r="M98" s="6">
        <v>542</v>
      </c>
      <c r="N98" s="6">
        <v>1626</v>
      </c>
      <c r="O98" s="7">
        <v>0.05</v>
      </c>
      <c r="P98" s="8">
        <f t="shared" si="2"/>
        <v>81.300000000000011</v>
      </c>
      <c r="Q98" s="9">
        <f t="shared" si="3"/>
        <v>1544.7</v>
      </c>
      <c r="R98" s="5">
        <v>30</v>
      </c>
      <c r="S98" s="5" t="s">
        <v>2032</v>
      </c>
      <c r="T98" s="5" t="s">
        <v>2037</v>
      </c>
    </row>
    <row r="99" spans="1:20" x14ac:dyDescent="0.25">
      <c r="A99" s="5" t="s">
        <v>112</v>
      </c>
      <c r="B99" s="10">
        <v>45592</v>
      </c>
      <c r="C99" s="5" t="s">
        <v>1015</v>
      </c>
      <c r="D99" s="11" t="s">
        <v>1118</v>
      </c>
      <c r="E99" s="5" t="s">
        <v>2154</v>
      </c>
      <c r="F99" s="5">
        <v>46</v>
      </c>
      <c r="G99" s="5" t="str" cm="1">
        <f t="array" ref="G99">_xlfn.IFS(F99&lt;12,"Child",F99&lt;18,"Teen",F99&lt;25,"Young",F99&lt;40,"Adult",F99&lt;60,"Middle Age",F99&gt;=60,"Old")</f>
        <v>Middle Age</v>
      </c>
      <c r="H99" s="5" t="s">
        <v>2043</v>
      </c>
      <c r="I99" s="5" t="s">
        <v>2015</v>
      </c>
      <c r="J99" s="5" t="s">
        <v>2025</v>
      </c>
      <c r="K99" s="5" t="str">
        <f>VLOOKUP(J99,Sheet2!$A$1:$B$11,2,FALSE)</f>
        <v>Formal Wear</v>
      </c>
      <c r="L99" s="5">
        <v>3</v>
      </c>
      <c r="M99" s="6">
        <v>1054</v>
      </c>
      <c r="N99" s="6">
        <v>3162</v>
      </c>
      <c r="O99" s="7">
        <v>0.15</v>
      </c>
      <c r="P99" s="8">
        <f t="shared" si="2"/>
        <v>474.29999999999995</v>
      </c>
      <c r="Q99" s="9">
        <f t="shared" si="3"/>
        <v>2687.7</v>
      </c>
      <c r="R99" s="5">
        <v>53</v>
      </c>
      <c r="S99" s="5" t="s">
        <v>2032</v>
      </c>
      <c r="T99" s="5" t="s">
        <v>2036</v>
      </c>
    </row>
    <row r="100" spans="1:20" x14ac:dyDescent="0.25">
      <c r="A100" s="5" t="s">
        <v>113</v>
      </c>
      <c r="B100" s="10">
        <v>45707</v>
      </c>
      <c r="C100" s="5" t="s">
        <v>1017</v>
      </c>
      <c r="D100" s="11" t="s">
        <v>1119</v>
      </c>
      <c r="E100" s="5" t="s">
        <v>2155</v>
      </c>
      <c r="F100" s="5">
        <v>25</v>
      </c>
      <c r="G100" s="5" t="str" cm="1">
        <f t="array" ref="G100">_xlfn.IFS(F100&lt;12,"Child",F100&lt;18,"Teen",F100&lt;25,"Young",F100&lt;40,"Adult",F100&lt;60,"Middle Age",F100&gt;=60,"Old")</f>
        <v>Adult</v>
      </c>
      <c r="H100" s="5" t="s">
        <v>2043</v>
      </c>
      <c r="I100" s="5" t="s">
        <v>2048</v>
      </c>
      <c r="J100" s="5" t="s">
        <v>2025</v>
      </c>
      <c r="K100" s="5" t="str">
        <f>VLOOKUP(J100,Sheet2!$A$1:$B$11,2,FALSE)</f>
        <v>Formal Wear</v>
      </c>
      <c r="L100" s="5">
        <v>5</v>
      </c>
      <c r="M100" s="6">
        <v>603</v>
      </c>
      <c r="N100" s="6">
        <v>3015</v>
      </c>
      <c r="O100" s="7">
        <v>0.1</v>
      </c>
      <c r="P100" s="8">
        <f t="shared" si="2"/>
        <v>301.5</v>
      </c>
      <c r="Q100" s="9">
        <f t="shared" si="3"/>
        <v>2713.5</v>
      </c>
      <c r="R100" s="5">
        <v>54</v>
      </c>
      <c r="S100" s="5" t="s">
        <v>2034</v>
      </c>
      <c r="T100" s="5" t="s">
        <v>2037</v>
      </c>
    </row>
    <row r="101" spans="1:20" x14ac:dyDescent="0.25">
      <c r="A101" s="5" t="s">
        <v>114</v>
      </c>
      <c r="B101" s="10">
        <v>45654</v>
      </c>
      <c r="C101" s="5" t="s">
        <v>1020</v>
      </c>
      <c r="D101" s="11" t="s">
        <v>1120</v>
      </c>
      <c r="E101" s="5" t="s">
        <v>2156</v>
      </c>
      <c r="F101" s="5">
        <v>57</v>
      </c>
      <c r="G101" s="5" t="str" cm="1">
        <f t="array" ref="G101">_xlfn.IFS(F101&lt;12,"Child",F101&lt;18,"Teen",F101&lt;25,"Young",F101&lt;40,"Adult",F101&lt;60,"Middle Age",F101&gt;=60,"Old")</f>
        <v>Middle Age</v>
      </c>
      <c r="H101" s="5" t="s">
        <v>2044</v>
      </c>
      <c r="I101" s="5" t="s">
        <v>2015</v>
      </c>
      <c r="J101" s="5" t="s">
        <v>2022</v>
      </c>
      <c r="K101" s="5" t="str">
        <f>VLOOKUP(J101,Sheet2!$A$1:$B$11,2,FALSE)</f>
        <v>Sportswear</v>
      </c>
      <c r="L101" s="5">
        <v>2</v>
      </c>
      <c r="M101" s="6">
        <v>242</v>
      </c>
      <c r="N101" s="6">
        <v>484</v>
      </c>
      <c r="O101" s="7">
        <v>0.05</v>
      </c>
      <c r="P101" s="8">
        <f t="shared" si="2"/>
        <v>24.200000000000003</v>
      </c>
      <c r="Q101" s="9">
        <f t="shared" si="3"/>
        <v>459.8</v>
      </c>
      <c r="R101" s="5">
        <v>9</v>
      </c>
      <c r="S101" s="5" t="s">
        <v>2034</v>
      </c>
      <c r="T101" s="5" t="s">
        <v>2035</v>
      </c>
    </row>
    <row r="102" spans="1:20" x14ac:dyDescent="0.25">
      <c r="A102" s="5" t="s">
        <v>115</v>
      </c>
      <c r="B102" s="10">
        <v>45431</v>
      </c>
      <c r="C102" s="5" t="s">
        <v>1015</v>
      </c>
      <c r="D102" s="11" t="s">
        <v>1121</v>
      </c>
      <c r="E102" s="5" t="s">
        <v>2157</v>
      </c>
      <c r="F102" s="5">
        <v>30</v>
      </c>
      <c r="G102" s="5" t="str" cm="1">
        <f t="array" ref="G102">_xlfn.IFS(F102&lt;12,"Child",F102&lt;18,"Teen",F102&lt;25,"Young",F102&lt;40,"Adult",F102&lt;60,"Middle Age",F102&gt;=60,"Old")</f>
        <v>Adult</v>
      </c>
      <c r="H102" s="5" t="s">
        <v>2043</v>
      </c>
      <c r="I102" s="5" t="s">
        <v>2048</v>
      </c>
      <c r="J102" s="5" t="s">
        <v>2025</v>
      </c>
      <c r="K102" s="5" t="str">
        <f>VLOOKUP(J102,Sheet2!$A$1:$B$11,2,FALSE)</f>
        <v>Formal Wear</v>
      </c>
      <c r="L102" s="5">
        <v>2</v>
      </c>
      <c r="M102" s="6">
        <v>457</v>
      </c>
      <c r="N102" s="6">
        <v>914</v>
      </c>
      <c r="O102" s="7">
        <v>0.15</v>
      </c>
      <c r="P102" s="8">
        <f t="shared" si="2"/>
        <v>137.1</v>
      </c>
      <c r="Q102" s="9">
        <f t="shared" si="3"/>
        <v>776.9</v>
      </c>
      <c r="R102" s="5">
        <v>15</v>
      </c>
      <c r="S102" s="5" t="s">
        <v>2034</v>
      </c>
      <c r="T102" s="5" t="s">
        <v>2037</v>
      </c>
    </row>
    <row r="103" spans="1:20" x14ac:dyDescent="0.25">
      <c r="A103" s="5" t="s">
        <v>116</v>
      </c>
      <c r="B103" s="10">
        <v>45689</v>
      </c>
      <c r="C103" s="5" t="s">
        <v>1020</v>
      </c>
      <c r="D103" s="11" t="s">
        <v>1122</v>
      </c>
      <c r="E103" s="5" t="s">
        <v>2158</v>
      </c>
      <c r="F103" s="5">
        <v>57</v>
      </c>
      <c r="G103" s="5" t="str" cm="1">
        <f t="array" ref="G103">_xlfn.IFS(F103&lt;12,"Child",F103&lt;18,"Teen",F103&lt;25,"Young",F103&lt;40,"Adult",F103&lt;60,"Middle Age",F103&gt;=60,"Old")</f>
        <v>Middle Age</v>
      </c>
      <c r="H103" s="5" t="s">
        <v>2044</v>
      </c>
      <c r="I103" s="5" t="s">
        <v>2047</v>
      </c>
      <c r="J103" s="5" t="s">
        <v>2024</v>
      </c>
      <c r="K103" s="5" t="str">
        <f>VLOOKUP(J103,Sheet2!$A$1:$B$11,2,FALSE)</f>
        <v>Fashion Accessories</v>
      </c>
      <c r="L103" s="5">
        <v>2</v>
      </c>
      <c r="M103" s="6">
        <v>263</v>
      </c>
      <c r="N103" s="6">
        <v>526</v>
      </c>
      <c r="O103" s="7">
        <v>0</v>
      </c>
      <c r="P103" s="8">
        <f t="shared" si="2"/>
        <v>0</v>
      </c>
      <c r="Q103" s="9">
        <f t="shared" si="3"/>
        <v>526</v>
      </c>
      <c r="R103" s="5">
        <v>10</v>
      </c>
      <c r="S103" s="5" t="s">
        <v>2034</v>
      </c>
      <c r="T103" s="5" t="s">
        <v>2035</v>
      </c>
    </row>
    <row r="104" spans="1:20" x14ac:dyDescent="0.25">
      <c r="A104" s="5" t="s">
        <v>117</v>
      </c>
      <c r="B104" s="10">
        <v>45640</v>
      </c>
      <c r="C104" s="5" t="s">
        <v>1020</v>
      </c>
      <c r="D104" s="11" t="s">
        <v>1123</v>
      </c>
      <c r="E104" s="5" t="s">
        <v>2159</v>
      </c>
      <c r="F104" s="5">
        <v>47</v>
      </c>
      <c r="G104" s="5" t="str" cm="1">
        <f t="array" ref="G104">_xlfn.IFS(F104&lt;12,"Child",F104&lt;18,"Teen",F104&lt;25,"Young",F104&lt;40,"Adult",F104&lt;60,"Middle Age",F104&gt;=60,"Old")</f>
        <v>Middle Age</v>
      </c>
      <c r="H104" s="5" t="s">
        <v>2044</v>
      </c>
      <c r="I104" s="5" t="s">
        <v>2015</v>
      </c>
      <c r="J104" s="5" t="s">
        <v>2019</v>
      </c>
      <c r="K104" s="5" t="str">
        <f>VLOOKUP(J104,Sheet2!$A$1:$B$11,2,FALSE)</f>
        <v>Formal Wear</v>
      </c>
      <c r="L104" s="5">
        <v>3</v>
      </c>
      <c r="M104" s="6">
        <v>957</v>
      </c>
      <c r="N104" s="6">
        <v>2871</v>
      </c>
      <c r="O104" s="7">
        <v>0.05</v>
      </c>
      <c r="P104" s="8">
        <f t="shared" si="2"/>
        <v>143.55000000000001</v>
      </c>
      <c r="Q104" s="9">
        <f t="shared" si="3"/>
        <v>2727.45</v>
      </c>
      <c r="R104" s="5">
        <v>54</v>
      </c>
      <c r="S104" s="5" t="s">
        <v>2032</v>
      </c>
      <c r="T104" s="5" t="s">
        <v>2035</v>
      </c>
    </row>
    <row r="105" spans="1:20" x14ac:dyDescent="0.25">
      <c r="A105" s="5" t="s">
        <v>118</v>
      </c>
      <c r="B105" s="10">
        <v>45511</v>
      </c>
      <c r="C105" s="5" t="s">
        <v>1017</v>
      </c>
      <c r="D105" s="11" t="s">
        <v>1124</v>
      </c>
      <c r="E105" s="5" t="s">
        <v>2160</v>
      </c>
      <c r="F105" s="5">
        <v>24</v>
      </c>
      <c r="G105" s="5" t="str" cm="1">
        <f t="array" ref="G105">_xlfn.IFS(F105&lt;12,"Child",F105&lt;18,"Teen",F105&lt;25,"Young",F105&lt;40,"Adult",F105&lt;60,"Middle Age",F105&gt;=60,"Old")</f>
        <v>Young</v>
      </c>
      <c r="H105" s="5" t="s">
        <v>2043</v>
      </c>
      <c r="I105" s="5" t="s">
        <v>2050</v>
      </c>
      <c r="J105" s="5" t="s">
        <v>2023</v>
      </c>
      <c r="K105" s="5" t="str">
        <f>VLOOKUP(J105,Sheet2!$A$1:$B$11,2,FALSE)</f>
        <v>Formal Wear</v>
      </c>
      <c r="L105" s="5">
        <v>3</v>
      </c>
      <c r="M105" s="6">
        <v>1027</v>
      </c>
      <c r="N105" s="6">
        <v>3081</v>
      </c>
      <c r="O105" s="7">
        <v>0.15</v>
      </c>
      <c r="P105" s="8">
        <f t="shared" si="2"/>
        <v>462.15</v>
      </c>
      <c r="Q105" s="9">
        <f t="shared" si="3"/>
        <v>2618.85</v>
      </c>
      <c r="R105" s="5">
        <v>52</v>
      </c>
      <c r="S105" s="5" t="s">
        <v>2033</v>
      </c>
      <c r="T105" s="5" t="s">
        <v>2035</v>
      </c>
    </row>
    <row r="106" spans="1:20" x14ac:dyDescent="0.25">
      <c r="A106" s="5" t="s">
        <v>119</v>
      </c>
      <c r="B106" s="10">
        <v>45527</v>
      </c>
      <c r="C106" s="5" t="s">
        <v>1014</v>
      </c>
      <c r="D106" s="11" t="s">
        <v>1125</v>
      </c>
      <c r="E106" s="5" t="s">
        <v>2161</v>
      </c>
      <c r="F106" s="5">
        <v>51</v>
      </c>
      <c r="G106" s="5" t="str" cm="1">
        <f t="array" ref="G106">_xlfn.IFS(F106&lt;12,"Child",F106&lt;18,"Teen",F106&lt;25,"Young",F106&lt;40,"Adult",F106&lt;60,"Middle Age",F106&gt;=60,"Old")</f>
        <v>Middle Age</v>
      </c>
      <c r="H106" s="5" t="s">
        <v>2044</v>
      </c>
      <c r="I106" s="5" t="s">
        <v>2049</v>
      </c>
      <c r="J106" s="5" t="s">
        <v>2021</v>
      </c>
      <c r="K106" s="5" t="str">
        <f>VLOOKUP(J106,Sheet2!$A$1:$B$11,2,FALSE)</f>
        <v>Casual Wear</v>
      </c>
      <c r="L106" s="5">
        <v>5</v>
      </c>
      <c r="M106" s="6">
        <v>750</v>
      </c>
      <c r="N106" s="6">
        <v>3750</v>
      </c>
      <c r="O106" s="7">
        <v>0.05</v>
      </c>
      <c r="P106" s="8">
        <f t="shared" si="2"/>
        <v>187.5</v>
      </c>
      <c r="Q106" s="9">
        <f t="shared" si="3"/>
        <v>3562.5</v>
      </c>
      <c r="R106" s="5">
        <v>71</v>
      </c>
      <c r="S106" s="5" t="s">
        <v>2033</v>
      </c>
      <c r="T106" s="5" t="s">
        <v>2035</v>
      </c>
    </row>
    <row r="107" spans="1:20" x14ac:dyDescent="0.25">
      <c r="A107" s="5" t="s">
        <v>120</v>
      </c>
      <c r="B107" s="10">
        <v>45622</v>
      </c>
      <c r="C107" s="5" t="s">
        <v>1019</v>
      </c>
      <c r="D107" s="11" t="s">
        <v>1126</v>
      </c>
      <c r="E107" s="5" t="s">
        <v>2162</v>
      </c>
      <c r="F107" s="5">
        <v>58</v>
      </c>
      <c r="G107" s="5" t="str" cm="1">
        <f t="array" ref="G107">_xlfn.IFS(F107&lt;12,"Child",F107&lt;18,"Teen",F107&lt;25,"Young",F107&lt;40,"Adult",F107&lt;60,"Middle Age",F107&gt;=60,"Old")</f>
        <v>Middle Age</v>
      </c>
      <c r="H107" s="5" t="s">
        <v>2044</v>
      </c>
      <c r="I107" s="5" t="s">
        <v>2050</v>
      </c>
      <c r="J107" s="5" t="s">
        <v>2024</v>
      </c>
      <c r="K107" s="5" t="str">
        <f>VLOOKUP(J107,Sheet2!$A$1:$B$11,2,FALSE)</f>
        <v>Fashion Accessories</v>
      </c>
      <c r="L107" s="5">
        <v>2</v>
      </c>
      <c r="M107" s="6">
        <v>472</v>
      </c>
      <c r="N107" s="6">
        <v>944</v>
      </c>
      <c r="O107" s="7">
        <v>0.2</v>
      </c>
      <c r="P107" s="8">
        <f t="shared" si="2"/>
        <v>188.8</v>
      </c>
      <c r="Q107" s="9">
        <f t="shared" si="3"/>
        <v>755.2</v>
      </c>
      <c r="R107" s="5">
        <v>15</v>
      </c>
      <c r="S107" s="5" t="s">
        <v>2034</v>
      </c>
      <c r="T107" s="5" t="s">
        <v>2035</v>
      </c>
    </row>
    <row r="108" spans="1:20" x14ac:dyDescent="0.25">
      <c r="A108" s="5" t="s">
        <v>121</v>
      </c>
      <c r="B108" s="10">
        <v>45601</v>
      </c>
      <c r="C108" s="5" t="s">
        <v>1019</v>
      </c>
      <c r="D108" s="11" t="s">
        <v>1127</v>
      </c>
      <c r="E108" s="5" t="s">
        <v>2163</v>
      </c>
      <c r="F108" s="5">
        <v>37</v>
      </c>
      <c r="G108" s="5" t="str" cm="1">
        <f t="array" ref="G108">_xlfn.IFS(F108&lt;12,"Child",F108&lt;18,"Teen",F108&lt;25,"Young",F108&lt;40,"Adult",F108&lt;60,"Middle Age",F108&gt;=60,"Old")</f>
        <v>Adult</v>
      </c>
      <c r="H108" s="5" t="s">
        <v>2043</v>
      </c>
      <c r="I108" s="5" t="s">
        <v>2015</v>
      </c>
      <c r="J108" s="5" t="s">
        <v>2019</v>
      </c>
      <c r="K108" s="5" t="str">
        <f>VLOOKUP(J108,Sheet2!$A$1:$B$11,2,FALSE)</f>
        <v>Formal Wear</v>
      </c>
      <c r="L108" s="5">
        <v>3</v>
      </c>
      <c r="M108" s="6">
        <v>585</v>
      </c>
      <c r="N108" s="6">
        <v>1755</v>
      </c>
      <c r="O108" s="7">
        <v>0.1</v>
      </c>
      <c r="P108" s="8">
        <f t="shared" si="2"/>
        <v>175.5</v>
      </c>
      <c r="Q108" s="9">
        <f t="shared" si="3"/>
        <v>1579.5</v>
      </c>
      <c r="R108" s="5">
        <v>31</v>
      </c>
      <c r="S108" s="5" t="s">
        <v>2033</v>
      </c>
      <c r="T108" s="5" t="s">
        <v>2037</v>
      </c>
    </row>
    <row r="109" spans="1:20" x14ac:dyDescent="0.25">
      <c r="A109" s="5" t="s">
        <v>122</v>
      </c>
      <c r="B109" s="10">
        <v>45633</v>
      </c>
      <c r="C109" s="5" t="s">
        <v>1020</v>
      </c>
      <c r="D109" s="11" t="s">
        <v>1128</v>
      </c>
      <c r="E109" s="5" t="s">
        <v>2164</v>
      </c>
      <c r="F109" s="5">
        <v>58</v>
      </c>
      <c r="G109" s="5" t="str" cm="1">
        <f t="array" ref="G109">_xlfn.IFS(F109&lt;12,"Child",F109&lt;18,"Teen",F109&lt;25,"Young",F109&lt;40,"Adult",F109&lt;60,"Middle Age",F109&gt;=60,"Old")</f>
        <v>Middle Age</v>
      </c>
      <c r="H109" s="5" t="s">
        <v>2044</v>
      </c>
      <c r="I109" s="5" t="s">
        <v>2050</v>
      </c>
      <c r="J109" s="5" t="s">
        <v>2022</v>
      </c>
      <c r="K109" s="5" t="str">
        <f>VLOOKUP(J109,Sheet2!$A$1:$B$11,2,FALSE)</f>
        <v>Sportswear</v>
      </c>
      <c r="L109" s="5">
        <v>1</v>
      </c>
      <c r="M109" s="6">
        <v>734</v>
      </c>
      <c r="N109" s="6">
        <v>734</v>
      </c>
      <c r="O109" s="7">
        <v>0.15</v>
      </c>
      <c r="P109" s="8">
        <f t="shared" si="2"/>
        <v>110.1</v>
      </c>
      <c r="Q109" s="9">
        <f t="shared" si="3"/>
        <v>623.9</v>
      </c>
      <c r="R109" s="5">
        <v>12</v>
      </c>
      <c r="S109" s="5" t="s">
        <v>2034</v>
      </c>
      <c r="T109" s="5" t="s">
        <v>2035</v>
      </c>
    </row>
    <row r="110" spans="1:20" x14ac:dyDescent="0.25">
      <c r="A110" s="5" t="s">
        <v>123</v>
      </c>
      <c r="B110" s="10">
        <v>45697</v>
      </c>
      <c r="C110" s="5" t="s">
        <v>1015</v>
      </c>
      <c r="D110" s="11" t="s">
        <v>1129</v>
      </c>
      <c r="E110" s="5" t="s">
        <v>2165</v>
      </c>
      <c r="F110" s="5">
        <v>60</v>
      </c>
      <c r="G110" s="5" t="str" cm="1">
        <f t="array" ref="G110">_xlfn.IFS(F110&lt;12,"Child",F110&lt;18,"Teen",F110&lt;25,"Young",F110&lt;40,"Adult",F110&lt;60,"Middle Age",F110&gt;=60,"Old")</f>
        <v>Old</v>
      </c>
      <c r="H110" s="5" t="s">
        <v>2044</v>
      </c>
      <c r="I110" s="5" t="s">
        <v>2047</v>
      </c>
      <c r="J110" s="5" t="s">
        <v>2022</v>
      </c>
      <c r="K110" s="5" t="str">
        <f>VLOOKUP(J110,Sheet2!$A$1:$B$11,2,FALSE)</f>
        <v>Sportswear</v>
      </c>
      <c r="L110" s="5">
        <v>1</v>
      </c>
      <c r="M110" s="6">
        <v>757</v>
      </c>
      <c r="N110" s="6">
        <v>757</v>
      </c>
      <c r="O110" s="7">
        <v>0.05</v>
      </c>
      <c r="P110" s="8">
        <f t="shared" si="2"/>
        <v>37.85</v>
      </c>
      <c r="Q110" s="9">
        <f t="shared" si="3"/>
        <v>719.15</v>
      </c>
      <c r="R110" s="5">
        <v>14</v>
      </c>
      <c r="S110" s="5" t="s">
        <v>2034</v>
      </c>
      <c r="T110" s="5" t="s">
        <v>2035</v>
      </c>
    </row>
    <row r="111" spans="1:20" x14ac:dyDescent="0.25">
      <c r="A111" s="5" t="s">
        <v>124</v>
      </c>
      <c r="B111" s="10">
        <v>45486</v>
      </c>
      <c r="C111" s="5" t="s">
        <v>1020</v>
      </c>
      <c r="D111" s="11" t="s">
        <v>1130</v>
      </c>
      <c r="E111" s="5" t="s">
        <v>2166</v>
      </c>
      <c r="F111" s="5">
        <v>34</v>
      </c>
      <c r="G111" s="5" t="str" cm="1">
        <f t="array" ref="G111">_xlfn.IFS(F111&lt;12,"Child",F111&lt;18,"Teen",F111&lt;25,"Young",F111&lt;40,"Adult",F111&lt;60,"Middle Age",F111&gt;=60,"Old")</f>
        <v>Adult</v>
      </c>
      <c r="H111" s="5" t="s">
        <v>2044</v>
      </c>
      <c r="I111" s="5" t="s">
        <v>2052</v>
      </c>
      <c r="J111" s="5" t="s">
        <v>2025</v>
      </c>
      <c r="K111" s="5" t="str">
        <f>VLOOKUP(J111,Sheet2!$A$1:$B$11,2,FALSE)</f>
        <v>Formal Wear</v>
      </c>
      <c r="L111" s="5">
        <v>1</v>
      </c>
      <c r="M111" s="6">
        <v>639</v>
      </c>
      <c r="N111" s="6">
        <v>639</v>
      </c>
      <c r="O111" s="7">
        <v>0</v>
      </c>
      <c r="P111" s="8">
        <f t="shared" si="2"/>
        <v>0</v>
      </c>
      <c r="Q111" s="9">
        <f t="shared" si="3"/>
        <v>639</v>
      </c>
      <c r="R111" s="5">
        <v>12</v>
      </c>
      <c r="S111" s="5" t="s">
        <v>2032</v>
      </c>
      <c r="T111" s="5" t="s">
        <v>2035</v>
      </c>
    </row>
    <row r="112" spans="1:20" x14ac:dyDescent="0.25">
      <c r="A112" s="5" t="s">
        <v>125</v>
      </c>
      <c r="B112" s="10">
        <v>45587</v>
      </c>
      <c r="C112" s="5" t="s">
        <v>1019</v>
      </c>
      <c r="D112" s="11" t="s">
        <v>1131</v>
      </c>
      <c r="E112" s="5" t="s">
        <v>2167</v>
      </c>
      <c r="F112" s="5">
        <v>22</v>
      </c>
      <c r="G112" s="5" t="str" cm="1">
        <f t="array" ref="G112">_xlfn.IFS(F112&lt;12,"Child",F112&lt;18,"Teen",F112&lt;25,"Young",F112&lt;40,"Adult",F112&lt;60,"Middle Age",F112&gt;=60,"Old")</f>
        <v>Young</v>
      </c>
      <c r="H112" s="5" t="s">
        <v>2043</v>
      </c>
      <c r="I112" s="5" t="s">
        <v>2048</v>
      </c>
      <c r="J112" s="5" t="s">
        <v>2020</v>
      </c>
      <c r="K112" s="5" t="str">
        <f>VLOOKUP(J112,Sheet2!$A$1:$B$11,2,FALSE)</f>
        <v>Summer Wear</v>
      </c>
      <c r="L112" s="5">
        <v>5</v>
      </c>
      <c r="M112" s="6">
        <v>1082</v>
      </c>
      <c r="N112" s="6">
        <v>5410</v>
      </c>
      <c r="O112" s="7">
        <v>0.1</v>
      </c>
      <c r="P112" s="8">
        <f t="shared" si="2"/>
        <v>541</v>
      </c>
      <c r="Q112" s="9">
        <f t="shared" si="3"/>
        <v>4869</v>
      </c>
      <c r="R112" s="5">
        <v>97</v>
      </c>
      <c r="S112" s="5" t="s">
        <v>2034</v>
      </c>
      <c r="T112" s="5" t="s">
        <v>2037</v>
      </c>
    </row>
    <row r="113" spans="1:20" x14ac:dyDescent="0.25">
      <c r="A113" s="5" t="s">
        <v>126</v>
      </c>
      <c r="B113" s="10">
        <v>45376</v>
      </c>
      <c r="C113" s="5" t="s">
        <v>1016</v>
      </c>
      <c r="D113" s="11" t="s">
        <v>1132</v>
      </c>
      <c r="E113" s="5" t="s">
        <v>2168</v>
      </c>
      <c r="F113" s="5">
        <v>21</v>
      </c>
      <c r="G113" s="5" t="str" cm="1">
        <f t="array" ref="G113">_xlfn.IFS(F113&lt;12,"Child",F113&lt;18,"Teen",F113&lt;25,"Young",F113&lt;40,"Adult",F113&lt;60,"Middle Age",F113&gt;=60,"Old")</f>
        <v>Young</v>
      </c>
      <c r="H113" s="5" t="s">
        <v>2044</v>
      </c>
      <c r="I113" s="5" t="s">
        <v>2052</v>
      </c>
      <c r="J113" s="5" t="s">
        <v>2018</v>
      </c>
      <c r="K113" s="5" t="str">
        <f>VLOOKUP(J113,Sheet2!$A$1:$B$11,2,FALSE)</f>
        <v>Sportswear</v>
      </c>
      <c r="L113" s="5">
        <v>1</v>
      </c>
      <c r="M113" s="6">
        <v>1023</v>
      </c>
      <c r="N113" s="6">
        <v>1023</v>
      </c>
      <c r="O113" s="7">
        <v>0.1</v>
      </c>
      <c r="P113" s="8">
        <f t="shared" si="2"/>
        <v>102.30000000000001</v>
      </c>
      <c r="Q113" s="9">
        <f t="shared" si="3"/>
        <v>920.7</v>
      </c>
      <c r="R113" s="5">
        <v>18</v>
      </c>
      <c r="S113" s="5" t="s">
        <v>2034</v>
      </c>
      <c r="T113" s="5" t="s">
        <v>2037</v>
      </c>
    </row>
    <row r="114" spans="1:20" x14ac:dyDescent="0.25">
      <c r="A114" s="5" t="s">
        <v>127</v>
      </c>
      <c r="B114" s="10">
        <v>45441</v>
      </c>
      <c r="C114" s="5" t="s">
        <v>1017</v>
      </c>
      <c r="D114" s="11" t="s">
        <v>1133</v>
      </c>
      <c r="E114" s="5" t="s">
        <v>2169</v>
      </c>
      <c r="F114" s="5">
        <v>19</v>
      </c>
      <c r="G114" s="5" t="str" cm="1">
        <f t="array" ref="G114">_xlfn.IFS(F114&lt;12,"Child",F114&lt;18,"Teen",F114&lt;25,"Young",F114&lt;40,"Adult",F114&lt;60,"Middle Age",F114&gt;=60,"Old")</f>
        <v>Young</v>
      </c>
      <c r="H114" s="5" t="s">
        <v>2044</v>
      </c>
      <c r="I114" s="5" t="s">
        <v>2052</v>
      </c>
      <c r="J114" s="5" t="s">
        <v>2018</v>
      </c>
      <c r="K114" s="5" t="str">
        <f>VLOOKUP(J114,Sheet2!$A$1:$B$11,2,FALSE)</f>
        <v>Sportswear</v>
      </c>
      <c r="L114" s="5">
        <v>5</v>
      </c>
      <c r="M114" s="6">
        <v>453</v>
      </c>
      <c r="N114" s="6">
        <v>2265</v>
      </c>
      <c r="O114" s="7">
        <v>0.05</v>
      </c>
      <c r="P114" s="8">
        <f t="shared" si="2"/>
        <v>113.25</v>
      </c>
      <c r="Q114" s="9">
        <f t="shared" si="3"/>
        <v>2151.75</v>
      </c>
      <c r="R114" s="5">
        <v>43</v>
      </c>
      <c r="S114" s="5" t="s">
        <v>2033</v>
      </c>
      <c r="T114" s="5" t="s">
        <v>2037</v>
      </c>
    </row>
    <row r="115" spans="1:20" x14ac:dyDescent="0.25">
      <c r="A115" s="5" t="s">
        <v>128</v>
      </c>
      <c r="B115" s="10">
        <v>45627</v>
      </c>
      <c r="C115" s="5" t="s">
        <v>1015</v>
      </c>
      <c r="D115" s="11" t="s">
        <v>1134</v>
      </c>
      <c r="E115" s="5" t="s">
        <v>2170</v>
      </c>
      <c r="F115" s="5">
        <v>22</v>
      </c>
      <c r="G115" s="5" t="str" cm="1">
        <f t="array" ref="G115">_xlfn.IFS(F115&lt;12,"Child",F115&lt;18,"Teen",F115&lt;25,"Young",F115&lt;40,"Adult",F115&lt;60,"Middle Age",F115&gt;=60,"Old")</f>
        <v>Young</v>
      </c>
      <c r="H115" s="5" t="s">
        <v>2044</v>
      </c>
      <c r="I115" s="5" t="s">
        <v>2049</v>
      </c>
      <c r="J115" s="5" t="s">
        <v>2021</v>
      </c>
      <c r="K115" s="5" t="str">
        <f>VLOOKUP(J115,Sheet2!$A$1:$B$11,2,FALSE)</f>
        <v>Casual Wear</v>
      </c>
      <c r="L115" s="5">
        <v>1</v>
      </c>
      <c r="M115" s="6">
        <v>1060</v>
      </c>
      <c r="N115" s="6">
        <v>1060</v>
      </c>
      <c r="O115" s="7">
        <v>0.15</v>
      </c>
      <c r="P115" s="8">
        <f t="shared" si="2"/>
        <v>159</v>
      </c>
      <c r="Q115" s="9">
        <f t="shared" si="3"/>
        <v>901</v>
      </c>
      <c r="R115" s="5">
        <v>18</v>
      </c>
      <c r="S115" s="5" t="s">
        <v>2034</v>
      </c>
      <c r="T115" s="5" t="s">
        <v>2036</v>
      </c>
    </row>
    <row r="116" spans="1:20" x14ac:dyDescent="0.25">
      <c r="A116" s="5" t="s">
        <v>129</v>
      </c>
      <c r="B116" s="10">
        <v>45646</v>
      </c>
      <c r="C116" s="5" t="s">
        <v>1014</v>
      </c>
      <c r="D116" s="11" t="s">
        <v>1135</v>
      </c>
      <c r="E116" s="5" t="s">
        <v>2171</v>
      </c>
      <c r="F116" s="5">
        <v>47</v>
      </c>
      <c r="G116" s="5" t="str" cm="1">
        <f t="array" ref="G116">_xlfn.IFS(F116&lt;12,"Child",F116&lt;18,"Teen",F116&lt;25,"Young",F116&lt;40,"Adult",F116&lt;60,"Middle Age",F116&gt;=60,"Old")</f>
        <v>Middle Age</v>
      </c>
      <c r="H116" s="5" t="s">
        <v>2044</v>
      </c>
      <c r="I116" s="5" t="s">
        <v>2047</v>
      </c>
      <c r="J116" s="5" t="s">
        <v>2020</v>
      </c>
      <c r="K116" s="5" t="str">
        <f>VLOOKUP(J116,Sheet2!$A$1:$B$11,2,FALSE)</f>
        <v>Summer Wear</v>
      </c>
      <c r="L116" s="5">
        <v>1</v>
      </c>
      <c r="M116" s="6">
        <v>1126</v>
      </c>
      <c r="N116" s="6">
        <v>1126</v>
      </c>
      <c r="O116" s="7">
        <v>0.2</v>
      </c>
      <c r="P116" s="8">
        <f t="shared" si="2"/>
        <v>225.20000000000002</v>
      </c>
      <c r="Q116" s="9">
        <f t="shared" si="3"/>
        <v>900.8</v>
      </c>
      <c r="R116" s="5">
        <v>18</v>
      </c>
      <c r="S116" s="5" t="s">
        <v>2032</v>
      </c>
      <c r="T116" s="5" t="s">
        <v>2036</v>
      </c>
    </row>
    <row r="117" spans="1:20" x14ac:dyDescent="0.25">
      <c r="A117" s="5" t="s">
        <v>130</v>
      </c>
      <c r="B117" s="10">
        <v>45536</v>
      </c>
      <c r="C117" s="5" t="s">
        <v>1015</v>
      </c>
      <c r="D117" s="11" t="s">
        <v>1136</v>
      </c>
      <c r="E117" s="5" t="s">
        <v>2172</v>
      </c>
      <c r="F117" s="5">
        <v>18</v>
      </c>
      <c r="G117" s="5" t="str" cm="1">
        <f t="array" ref="G117">_xlfn.IFS(F117&lt;12,"Child",F117&lt;18,"Teen",F117&lt;25,"Young",F117&lt;40,"Adult",F117&lt;60,"Middle Age",F117&gt;=60,"Old")</f>
        <v>Young</v>
      </c>
      <c r="H117" s="5" t="s">
        <v>2043</v>
      </c>
      <c r="I117" s="5" t="s">
        <v>2048</v>
      </c>
      <c r="J117" s="5" t="s">
        <v>2022</v>
      </c>
      <c r="K117" s="5" t="str">
        <f>VLOOKUP(J117,Sheet2!$A$1:$B$11,2,FALSE)</f>
        <v>Sportswear</v>
      </c>
      <c r="L117" s="5">
        <v>5</v>
      </c>
      <c r="M117" s="6">
        <v>920</v>
      </c>
      <c r="N117" s="6">
        <v>4600</v>
      </c>
      <c r="O117" s="7">
        <v>0.2</v>
      </c>
      <c r="P117" s="8">
        <f t="shared" si="2"/>
        <v>920</v>
      </c>
      <c r="Q117" s="9">
        <f t="shared" si="3"/>
        <v>3680</v>
      </c>
      <c r="R117" s="5">
        <v>73</v>
      </c>
      <c r="S117" s="5" t="s">
        <v>2034</v>
      </c>
      <c r="T117" s="5" t="s">
        <v>2035</v>
      </c>
    </row>
    <row r="118" spans="1:20" x14ac:dyDescent="0.25">
      <c r="A118" s="5" t="s">
        <v>131</v>
      </c>
      <c r="B118" s="10">
        <v>45555</v>
      </c>
      <c r="C118" s="5" t="s">
        <v>1014</v>
      </c>
      <c r="D118" s="11" t="s">
        <v>1137</v>
      </c>
      <c r="E118" s="5" t="s">
        <v>2173</v>
      </c>
      <c r="F118" s="5">
        <v>57</v>
      </c>
      <c r="G118" s="5" t="str" cm="1">
        <f t="array" ref="G118">_xlfn.IFS(F118&lt;12,"Child",F118&lt;18,"Teen",F118&lt;25,"Young",F118&lt;40,"Adult",F118&lt;60,"Middle Age",F118&gt;=60,"Old")</f>
        <v>Middle Age</v>
      </c>
      <c r="H118" s="5" t="s">
        <v>2043</v>
      </c>
      <c r="I118" s="5" t="s">
        <v>2045</v>
      </c>
      <c r="J118" s="5" t="s">
        <v>2017</v>
      </c>
      <c r="K118" s="5" t="str">
        <f>VLOOKUP(J118,Sheet2!$A$1:$B$11,2,FALSE)</f>
        <v>Casual Wear</v>
      </c>
      <c r="L118" s="5">
        <v>5</v>
      </c>
      <c r="M118" s="6">
        <v>853</v>
      </c>
      <c r="N118" s="6">
        <v>4265</v>
      </c>
      <c r="O118" s="7">
        <v>0.1</v>
      </c>
      <c r="P118" s="8">
        <f t="shared" si="2"/>
        <v>426.5</v>
      </c>
      <c r="Q118" s="9">
        <f t="shared" si="3"/>
        <v>3838.5</v>
      </c>
      <c r="R118" s="5">
        <v>76</v>
      </c>
      <c r="S118" s="5" t="s">
        <v>2033</v>
      </c>
      <c r="T118" s="5" t="s">
        <v>2037</v>
      </c>
    </row>
    <row r="119" spans="1:20" x14ac:dyDescent="0.25">
      <c r="A119" s="5" t="s">
        <v>132</v>
      </c>
      <c r="B119" s="10">
        <v>45426</v>
      </c>
      <c r="C119" s="5" t="s">
        <v>1019</v>
      </c>
      <c r="D119" s="11" t="s">
        <v>1138</v>
      </c>
      <c r="E119" s="5" t="s">
        <v>2174</v>
      </c>
      <c r="F119" s="5">
        <v>38</v>
      </c>
      <c r="G119" s="5" t="str" cm="1">
        <f t="array" ref="G119">_xlfn.IFS(F119&lt;12,"Child",F119&lt;18,"Teen",F119&lt;25,"Young",F119&lt;40,"Adult",F119&lt;60,"Middle Age",F119&gt;=60,"Old")</f>
        <v>Adult</v>
      </c>
      <c r="H119" s="5" t="s">
        <v>2043</v>
      </c>
      <c r="I119" s="5" t="s">
        <v>2052</v>
      </c>
      <c r="J119" s="5" t="s">
        <v>2021</v>
      </c>
      <c r="K119" s="5" t="str">
        <f>VLOOKUP(J119,Sheet2!$A$1:$B$11,2,FALSE)</f>
        <v>Casual Wear</v>
      </c>
      <c r="L119" s="5">
        <v>2</v>
      </c>
      <c r="M119" s="6">
        <v>336</v>
      </c>
      <c r="N119" s="6">
        <v>672</v>
      </c>
      <c r="O119" s="7">
        <v>0.05</v>
      </c>
      <c r="P119" s="8">
        <f t="shared" si="2"/>
        <v>33.6</v>
      </c>
      <c r="Q119" s="9">
        <f t="shared" si="3"/>
        <v>638.4</v>
      </c>
      <c r="R119" s="5">
        <v>12</v>
      </c>
      <c r="S119" s="5" t="s">
        <v>2033</v>
      </c>
      <c r="T119" s="5" t="s">
        <v>2037</v>
      </c>
    </row>
    <row r="120" spans="1:20" x14ac:dyDescent="0.25">
      <c r="A120" s="5" t="s">
        <v>133</v>
      </c>
      <c r="B120" s="10">
        <v>45405</v>
      </c>
      <c r="C120" s="5" t="s">
        <v>1019</v>
      </c>
      <c r="D120" s="11" t="s">
        <v>1139</v>
      </c>
      <c r="E120" s="5" t="s">
        <v>2175</v>
      </c>
      <c r="F120" s="5">
        <v>19</v>
      </c>
      <c r="G120" s="5" t="str" cm="1">
        <f t="array" ref="G120">_xlfn.IFS(F120&lt;12,"Child",F120&lt;18,"Teen",F120&lt;25,"Young",F120&lt;40,"Adult",F120&lt;60,"Middle Age",F120&gt;=60,"Old")</f>
        <v>Young</v>
      </c>
      <c r="H120" s="5" t="s">
        <v>2044</v>
      </c>
      <c r="I120" s="5" t="s">
        <v>2045</v>
      </c>
      <c r="J120" s="5" t="s">
        <v>2018</v>
      </c>
      <c r="K120" s="5" t="str">
        <f>VLOOKUP(J120,Sheet2!$A$1:$B$11,2,FALSE)</f>
        <v>Sportswear</v>
      </c>
      <c r="L120" s="5">
        <v>5</v>
      </c>
      <c r="M120" s="6">
        <v>387</v>
      </c>
      <c r="N120" s="6">
        <v>1935</v>
      </c>
      <c r="O120" s="7">
        <v>0</v>
      </c>
      <c r="P120" s="8">
        <f t="shared" si="2"/>
        <v>0</v>
      </c>
      <c r="Q120" s="9">
        <f t="shared" si="3"/>
        <v>1935</v>
      </c>
      <c r="R120" s="5">
        <v>38</v>
      </c>
      <c r="S120" s="5" t="s">
        <v>2034</v>
      </c>
      <c r="T120" s="5" t="s">
        <v>2037</v>
      </c>
    </row>
    <row r="121" spans="1:20" x14ac:dyDescent="0.25">
      <c r="A121" s="5" t="s">
        <v>134</v>
      </c>
      <c r="B121" s="10">
        <v>45592</v>
      </c>
      <c r="C121" s="5" t="s">
        <v>1015</v>
      </c>
      <c r="D121" s="11" t="s">
        <v>1140</v>
      </c>
      <c r="E121" s="5" t="s">
        <v>2176</v>
      </c>
      <c r="F121" s="5">
        <v>29</v>
      </c>
      <c r="G121" s="5" t="str" cm="1">
        <f t="array" ref="G121">_xlfn.IFS(F121&lt;12,"Child",F121&lt;18,"Teen",F121&lt;25,"Young",F121&lt;40,"Adult",F121&lt;60,"Middle Age",F121&gt;=60,"Old")</f>
        <v>Adult</v>
      </c>
      <c r="H121" s="5" t="s">
        <v>2043</v>
      </c>
      <c r="I121" s="5" t="s">
        <v>2048</v>
      </c>
      <c r="J121" s="5" t="s">
        <v>2022</v>
      </c>
      <c r="K121" s="5" t="str">
        <f>VLOOKUP(J121,Sheet2!$A$1:$B$11,2,FALSE)</f>
        <v>Sportswear</v>
      </c>
      <c r="L121" s="5">
        <v>2</v>
      </c>
      <c r="M121" s="6">
        <v>339</v>
      </c>
      <c r="N121" s="6">
        <v>678</v>
      </c>
      <c r="O121" s="7">
        <v>0.1</v>
      </c>
      <c r="P121" s="8">
        <f t="shared" si="2"/>
        <v>67.8</v>
      </c>
      <c r="Q121" s="9">
        <f t="shared" si="3"/>
        <v>610.20000000000005</v>
      </c>
      <c r="R121" s="5">
        <v>12</v>
      </c>
      <c r="S121" s="5" t="s">
        <v>2033</v>
      </c>
      <c r="T121" s="5" t="s">
        <v>2037</v>
      </c>
    </row>
    <row r="122" spans="1:20" x14ac:dyDescent="0.25">
      <c r="A122" s="5" t="s">
        <v>135</v>
      </c>
      <c r="B122" s="10">
        <v>45425</v>
      </c>
      <c r="C122" s="5" t="s">
        <v>1016</v>
      </c>
      <c r="D122" s="11" t="s">
        <v>1141</v>
      </c>
      <c r="E122" s="5" t="s">
        <v>2177</v>
      </c>
      <c r="F122" s="5">
        <v>18</v>
      </c>
      <c r="G122" s="5" t="str" cm="1">
        <f t="array" ref="G122">_xlfn.IFS(F122&lt;12,"Child",F122&lt;18,"Teen",F122&lt;25,"Young",F122&lt;40,"Adult",F122&lt;60,"Middle Age",F122&gt;=60,"Old")</f>
        <v>Young</v>
      </c>
      <c r="H122" s="5" t="s">
        <v>2043</v>
      </c>
      <c r="I122" s="5" t="s">
        <v>2045</v>
      </c>
      <c r="J122" s="5" t="s">
        <v>2018</v>
      </c>
      <c r="K122" s="5" t="str">
        <f>VLOOKUP(J122,Sheet2!$A$1:$B$11,2,FALSE)</f>
        <v>Sportswear</v>
      </c>
      <c r="L122" s="5">
        <v>5</v>
      </c>
      <c r="M122" s="6">
        <v>776</v>
      </c>
      <c r="N122" s="6">
        <v>3880</v>
      </c>
      <c r="O122" s="7">
        <v>0.05</v>
      </c>
      <c r="P122" s="8">
        <f t="shared" si="2"/>
        <v>194</v>
      </c>
      <c r="Q122" s="9">
        <f t="shared" si="3"/>
        <v>3686</v>
      </c>
      <c r="R122" s="5">
        <v>73</v>
      </c>
      <c r="S122" s="5" t="s">
        <v>2032</v>
      </c>
      <c r="T122" s="5" t="s">
        <v>2035</v>
      </c>
    </row>
    <row r="123" spans="1:20" x14ac:dyDescent="0.25">
      <c r="A123" s="5" t="s">
        <v>136</v>
      </c>
      <c r="B123" s="10">
        <v>45668</v>
      </c>
      <c r="C123" s="5" t="s">
        <v>1020</v>
      </c>
      <c r="D123" s="11" t="s">
        <v>1142</v>
      </c>
      <c r="E123" s="5" t="s">
        <v>2178</v>
      </c>
      <c r="F123" s="5">
        <v>36</v>
      </c>
      <c r="G123" s="5" t="str" cm="1">
        <f t="array" ref="G123">_xlfn.IFS(F123&lt;12,"Child",F123&lt;18,"Teen",F123&lt;25,"Young",F123&lt;40,"Adult",F123&lt;60,"Middle Age",F123&gt;=60,"Old")</f>
        <v>Adult</v>
      </c>
      <c r="H123" s="5" t="s">
        <v>2044</v>
      </c>
      <c r="I123" s="5" t="s">
        <v>2046</v>
      </c>
      <c r="J123" s="5" t="s">
        <v>2022</v>
      </c>
      <c r="K123" s="5" t="str">
        <f>VLOOKUP(J123,Sheet2!$A$1:$B$11,2,FALSE)</f>
        <v>Sportswear</v>
      </c>
      <c r="L123" s="5">
        <v>1</v>
      </c>
      <c r="M123" s="6">
        <v>1014</v>
      </c>
      <c r="N123" s="6">
        <v>1014</v>
      </c>
      <c r="O123" s="7">
        <v>0.05</v>
      </c>
      <c r="P123" s="8">
        <f t="shared" si="2"/>
        <v>50.7</v>
      </c>
      <c r="Q123" s="9">
        <f t="shared" si="3"/>
        <v>963.3</v>
      </c>
      <c r="R123" s="5">
        <v>19</v>
      </c>
      <c r="S123" s="5" t="s">
        <v>2033</v>
      </c>
      <c r="T123" s="5" t="s">
        <v>2036</v>
      </c>
    </row>
    <row r="124" spans="1:20" x14ac:dyDescent="0.25">
      <c r="A124" s="5" t="s">
        <v>137</v>
      </c>
      <c r="B124" s="10">
        <v>45355</v>
      </c>
      <c r="C124" s="5" t="s">
        <v>1016</v>
      </c>
      <c r="D124" s="11" t="s">
        <v>1143</v>
      </c>
      <c r="E124" s="5" t="s">
        <v>2179</v>
      </c>
      <c r="F124" s="5">
        <v>47</v>
      </c>
      <c r="G124" s="5" t="str" cm="1">
        <f t="array" ref="G124">_xlfn.IFS(F124&lt;12,"Child",F124&lt;18,"Teen",F124&lt;25,"Young",F124&lt;40,"Adult",F124&lt;60,"Middle Age",F124&gt;=60,"Old")</f>
        <v>Middle Age</v>
      </c>
      <c r="H124" s="5" t="s">
        <v>2043</v>
      </c>
      <c r="I124" s="5" t="s">
        <v>2051</v>
      </c>
      <c r="J124" s="5" t="s">
        <v>2024</v>
      </c>
      <c r="K124" s="5" t="str">
        <f>VLOOKUP(J124,Sheet2!$A$1:$B$11,2,FALSE)</f>
        <v>Fashion Accessories</v>
      </c>
      <c r="L124" s="5">
        <v>4</v>
      </c>
      <c r="M124" s="6">
        <v>1129</v>
      </c>
      <c r="N124" s="6">
        <v>4516</v>
      </c>
      <c r="O124" s="7">
        <v>0</v>
      </c>
      <c r="P124" s="8">
        <f t="shared" si="2"/>
        <v>0</v>
      </c>
      <c r="Q124" s="9">
        <f t="shared" si="3"/>
        <v>4516</v>
      </c>
      <c r="R124" s="5">
        <v>90</v>
      </c>
      <c r="S124" s="5" t="s">
        <v>2033</v>
      </c>
      <c r="T124" s="5" t="s">
        <v>2035</v>
      </c>
    </row>
    <row r="125" spans="1:20" x14ac:dyDescent="0.25">
      <c r="A125" s="5" t="s">
        <v>138</v>
      </c>
      <c r="B125" s="10">
        <v>45613</v>
      </c>
      <c r="C125" s="5" t="s">
        <v>1015</v>
      </c>
      <c r="D125" s="11" t="s">
        <v>1144</v>
      </c>
      <c r="E125" s="5" t="s">
        <v>2180</v>
      </c>
      <c r="F125" s="5">
        <v>58</v>
      </c>
      <c r="G125" s="5" t="str" cm="1">
        <f t="array" ref="G125">_xlfn.IFS(F125&lt;12,"Child",F125&lt;18,"Teen",F125&lt;25,"Young",F125&lt;40,"Adult",F125&lt;60,"Middle Age",F125&gt;=60,"Old")</f>
        <v>Middle Age</v>
      </c>
      <c r="H125" s="5" t="s">
        <v>2043</v>
      </c>
      <c r="I125" s="5" t="s">
        <v>2048</v>
      </c>
      <c r="J125" s="5" t="s">
        <v>2024</v>
      </c>
      <c r="K125" s="5" t="str">
        <f>VLOOKUP(J125,Sheet2!$A$1:$B$11,2,FALSE)</f>
        <v>Fashion Accessories</v>
      </c>
      <c r="L125" s="5">
        <v>5</v>
      </c>
      <c r="M125" s="6">
        <v>408</v>
      </c>
      <c r="N125" s="6">
        <v>2040</v>
      </c>
      <c r="O125" s="7">
        <v>0.2</v>
      </c>
      <c r="P125" s="8">
        <f t="shared" si="2"/>
        <v>408</v>
      </c>
      <c r="Q125" s="9">
        <f t="shared" si="3"/>
        <v>1632</v>
      </c>
      <c r="R125" s="5">
        <v>32</v>
      </c>
      <c r="S125" s="5" t="s">
        <v>2032</v>
      </c>
      <c r="T125" s="5" t="s">
        <v>2035</v>
      </c>
    </row>
    <row r="126" spans="1:20" x14ac:dyDescent="0.25">
      <c r="A126" s="5" t="s">
        <v>139</v>
      </c>
      <c r="B126" s="10">
        <v>45356</v>
      </c>
      <c r="C126" s="5" t="s">
        <v>1019</v>
      </c>
      <c r="D126" s="11" t="s">
        <v>1145</v>
      </c>
      <c r="E126" s="5" t="s">
        <v>2181</v>
      </c>
      <c r="F126" s="5">
        <v>33</v>
      </c>
      <c r="G126" s="5" t="str" cm="1">
        <f t="array" ref="G126">_xlfn.IFS(F126&lt;12,"Child",F126&lt;18,"Teen",F126&lt;25,"Young",F126&lt;40,"Adult",F126&lt;60,"Middle Age",F126&gt;=60,"Old")</f>
        <v>Adult</v>
      </c>
      <c r="H126" s="5" t="s">
        <v>2043</v>
      </c>
      <c r="I126" s="5" t="s">
        <v>2049</v>
      </c>
      <c r="J126" s="5" t="s">
        <v>2016</v>
      </c>
      <c r="K126" s="5" t="str">
        <f>VLOOKUP(J126,Sheet2!$A$1:$B$11,2,FALSE)</f>
        <v>Winter Wear</v>
      </c>
      <c r="L126" s="5">
        <v>1</v>
      </c>
      <c r="M126" s="6">
        <v>740</v>
      </c>
      <c r="N126" s="6">
        <v>740</v>
      </c>
      <c r="O126" s="7">
        <v>0.05</v>
      </c>
      <c r="P126" s="8">
        <f t="shared" si="2"/>
        <v>37</v>
      </c>
      <c r="Q126" s="9">
        <f t="shared" si="3"/>
        <v>703</v>
      </c>
      <c r="R126" s="5">
        <v>14</v>
      </c>
      <c r="S126" s="5" t="s">
        <v>2032</v>
      </c>
      <c r="T126" s="5" t="s">
        <v>2037</v>
      </c>
    </row>
    <row r="127" spans="1:20" x14ac:dyDescent="0.25">
      <c r="A127" s="5" t="s">
        <v>140</v>
      </c>
      <c r="B127" s="10">
        <v>45528</v>
      </c>
      <c r="C127" s="5" t="s">
        <v>1020</v>
      </c>
      <c r="D127" s="11" t="s">
        <v>1146</v>
      </c>
      <c r="E127" s="5" t="s">
        <v>2182</v>
      </c>
      <c r="F127" s="5">
        <v>28</v>
      </c>
      <c r="G127" s="5" t="str" cm="1">
        <f t="array" ref="G127">_xlfn.IFS(F127&lt;12,"Child",F127&lt;18,"Teen",F127&lt;25,"Young",F127&lt;40,"Adult",F127&lt;60,"Middle Age",F127&gt;=60,"Old")</f>
        <v>Adult</v>
      </c>
      <c r="H127" s="5" t="s">
        <v>2043</v>
      </c>
      <c r="I127" s="5" t="s">
        <v>2047</v>
      </c>
      <c r="J127" s="5" t="s">
        <v>2016</v>
      </c>
      <c r="K127" s="5" t="str">
        <f>VLOOKUP(J127,Sheet2!$A$1:$B$11,2,FALSE)</f>
        <v>Winter Wear</v>
      </c>
      <c r="L127" s="5">
        <v>2</v>
      </c>
      <c r="M127" s="6">
        <v>492</v>
      </c>
      <c r="N127" s="6">
        <v>984</v>
      </c>
      <c r="O127" s="7">
        <v>0.05</v>
      </c>
      <c r="P127" s="8">
        <f t="shared" si="2"/>
        <v>49.2</v>
      </c>
      <c r="Q127" s="9">
        <f t="shared" si="3"/>
        <v>934.8</v>
      </c>
      <c r="R127" s="5">
        <v>18</v>
      </c>
      <c r="S127" s="5" t="s">
        <v>2034</v>
      </c>
      <c r="T127" s="5" t="s">
        <v>2037</v>
      </c>
    </row>
    <row r="128" spans="1:20" x14ac:dyDescent="0.25">
      <c r="A128" s="5" t="s">
        <v>141</v>
      </c>
      <c r="B128" s="10">
        <v>45643</v>
      </c>
      <c r="C128" s="5" t="s">
        <v>1019</v>
      </c>
      <c r="D128" s="11" t="s">
        <v>1147</v>
      </c>
      <c r="E128" s="5" t="s">
        <v>2183</v>
      </c>
      <c r="F128" s="5">
        <v>32</v>
      </c>
      <c r="G128" s="5" t="str" cm="1">
        <f t="array" ref="G128">_xlfn.IFS(F128&lt;12,"Child",F128&lt;18,"Teen",F128&lt;25,"Young",F128&lt;40,"Adult",F128&lt;60,"Middle Age",F128&gt;=60,"Old")</f>
        <v>Adult</v>
      </c>
      <c r="H128" s="5" t="s">
        <v>2044</v>
      </c>
      <c r="I128" s="5" t="s">
        <v>2046</v>
      </c>
      <c r="J128" s="5" t="s">
        <v>2022</v>
      </c>
      <c r="K128" s="5" t="str">
        <f>VLOOKUP(J128,Sheet2!$A$1:$B$11,2,FALSE)</f>
        <v>Sportswear</v>
      </c>
      <c r="L128" s="5">
        <v>5</v>
      </c>
      <c r="M128" s="6">
        <v>788</v>
      </c>
      <c r="N128" s="6">
        <v>3940</v>
      </c>
      <c r="O128" s="7">
        <v>0.15</v>
      </c>
      <c r="P128" s="8">
        <f t="shared" si="2"/>
        <v>591</v>
      </c>
      <c r="Q128" s="9">
        <f t="shared" si="3"/>
        <v>3349</v>
      </c>
      <c r="R128" s="5">
        <v>66</v>
      </c>
      <c r="S128" s="5" t="s">
        <v>2034</v>
      </c>
      <c r="T128" s="5" t="s">
        <v>2037</v>
      </c>
    </row>
    <row r="129" spans="1:20" x14ac:dyDescent="0.25">
      <c r="A129" s="5" t="s">
        <v>142</v>
      </c>
      <c r="B129" s="10">
        <v>45598</v>
      </c>
      <c r="C129" s="5" t="s">
        <v>1020</v>
      </c>
      <c r="D129" s="11" t="s">
        <v>1148</v>
      </c>
      <c r="E129" s="5" t="s">
        <v>2184</v>
      </c>
      <c r="F129" s="5">
        <v>36</v>
      </c>
      <c r="G129" s="5" t="str" cm="1">
        <f t="array" ref="G129">_xlfn.IFS(F129&lt;12,"Child",F129&lt;18,"Teen",F129&lt;25,"Young",F129&lt;40,"Adult",F129&lt;60,"Middle Age",F129&gt;=60,"Old")</f>
        <v>Adult</v>
      </c>
      <c r="H129" s="5" t="s">
        <v>2044</v>
      </c>
      <c r="I129" s="5" t="s">
        <v>2045</v>
      </c>
      <c r="J129" s="5" t="s">
        <v>2025</v>
      </c>
      <c r="K129" s="5" t="str">
        <f>VLOOKUP(J129,Sheet2!$A$1:$B$11,2,FALSE)</f>
        <v>Formal Wear</v>
      </c>
      <c r="L129" s="5">
        <v>3</v>
      </c>
      <c r="M129" s="6">
        <v>1188</v>
      </c>
      <c r="N129" s="6">
        <v>3564</v>
      </c>
      <c r="O129" s="7">
        <v>0.15</v>
      </c>
      <c r="P129" s="8">
        <f t="shared" si="2"/>
        <v>534.6</v>
      </c>
      <c r="Q129" s="9">
        <f t="shared" si="3"/>
        <v>3029.4</v>
      </c>
      <c r="R129" s="5">
        <v>60</v>
      </c>
      <c r="S129" s="5" t="s">
        <v>2034</v>
      </c>
      <c r="T129" s="5" t="s">
        <v>2037</v>
      </c>
    </row>
    <row r="130" spans="1:20" x14ac:dyDescent="0.25">
      <c r="A130" s="5" t="s">
        <v>143</v>
      </c>
      <c r="B130" s="10">
        <v>45514</v>
      </c>
      <c r="C130" s="5" t="s">
        <v>1020</v>
      </c>
      <c r="D130" s="11" t="s">
        <v>1149</v>
      </c>
      <c r="E130" s="5" t="s">
        <v>2185</v>
      </c>
      <c r="F130" s="5">
        <v>55</v>
      </c>
      <c r="G130" s="5" t="str" cm="1">
        <f t="array" ref="G130">_xlfn.IFS(F130&lt;12,"Child",F130&lt;18,"Teen",F130&lt;25,"Young",F130&lt;40,"Adult",F130&lt;60,"Middle Age",F130&gt;=60,"Old")</f>
        <v>Middle Age</v>
      </c>
      <c r="H130" s="5" t="s">
        <v>2043</v>
      </c>
      <c r="I130" s="5" t="s">
        <v>2048</v>
      </c>
      <c r="J130" s="5" t="s">
        <v>2019</v>
      </c>
      <c r="K130" s="5" t="str">
        <f>VLOOKUP(J130,Sheet2!$A$1:$B$11,2,FALSE)</f>
        <v>Formal Wear</v>
      </c>
      <c r="L130" s="5">
        <v>2</v>
      </c>
      <c r="M130" s="6">
        <v>796</v>
      </c>
      <c r="N130" s="6">
        <v>1592</v>
      </c>
      <c r="O130" s="7">
        <v>0.1</v>
      </c>
      <c r="P130" s="8">
        <f t="shared" si="2"/>
        <v>159.20000000000002</v>
      </c>
      <c r="Q130" s="9">
        <f t="shared" si="3"/>
        <v>1432.8</v>
      </c>
      <c r="R130" s="5">
        <v>28</v>
      </c>
      <c r="S130" s="5" t="s">
        <v>2033</v>
      </c>
      <c r="T130" s="5" t="s">
        <v>2037</v>
      </c>
    </row>
    <row r="131" spans="1:20" x14ac:dyDescent="0.25">
      <c r="A131" s="5" t="s">
        <v>144</v>
      </c>
      <c r="B131" s="10">
        <v>45453</v>
      </c>
      <c r="C131" s="5" t="s">
        <v>1016</v>
      </c>
      <c r="D131" s="11" t="s">
        <v>1150</v>
      </c>
      <c r="E131" s="5" t="s">
        <v>2186</v>
      </c>
      <c r="F131" s="5">
        <v>47</v>
      </c>
      <c r="G131" s="5" t="str" cm="1">
        <f t="array" ref="G131">_xlfn.IFS(F131&lt;12,"Child",F131&lt;18,"Teen",F131&lt;25,"Young",F131&lt;40,"Adult",F131&lt;60,"Middle Age",F131&gt;=60,"Old")</f>
        <v>Middle Age</v>
      </c>
      <c r="H131" s="5" t="s">
        <v>2044</v>
      </c>
      <c r="I131" s="5" t="s">
        <v>2053</v>
      </c>
      <c r="J131" s="5" t="s">
        <v>2022</v>
      </c>
      <c r="K131" s="5" t="str">
        <f>VLOOKUP(J131,Sheet2!$A$1:$B$11,2,FALSE)</f>
        <v>Sportswear</v>
      </c>
      <c r="L131" s="5">
        <v>4</v>
      </c>
      <c r="M131" s="6">
        <v>151</v>
      </c>
      <c r="N131" s="6">
        <v>604</v>
      </c>
      <c r="O131" s="7">
        <v>0.2</v>
      </c>
      <c r="P131" s="8">
        <f t="shared" ref="P131:P194" si="4">N131*O131</f>
        <v>120.80000000000001</v>
      </c>
      <c r="Q131" s="9">
        <f t="shared" ref="Q131:Q194" si="5">N131-P131</f>
        <v>483.2</v>
      </c>
      <c r="R131" s="5">
        <v>9</v>
      </c>
      <c r="S131" s="5" t="s">
        <v>2034</v>
      </c>
      <c r="T131" s="5" t="s">
        <v>2036</v>
      </c>
    </row>
    <row r="132" spans="1:20" x14ac:dyDescent="0.25">
      <c r="A132" s="5" t="s">
        <v>145</v>
      </c>
      <c r="B132" s="10">
        <v>45630</v>
      </c>
      <c r="C132" s="5" t="s">
        <v>1017</v>
      </c>
      <c r="D132" s="11" t="s">
        <v>1151</v>
      </c>
      <c r="E132" s="5" t="s">
        <v>2187</v>
      </c>
      <c r="F132" s="5">
        <v>32</v>
      </c>
      <c r="G132" s="5" t="str" cm="1">
        <f t="array" ref="G132">_xlfn.IFS(F132&lt;12,"Child",F132&lt;18,"Teen",F132&lt;25,"Young",F132&lt;40,"Adult",F132&lt;60,"Middle Age",F132&gt;=60,"Old")</f>
        <v>Adult</v>
      </c>
      <c r="H132" s="5" t="s">
        <v>2044</v>
      </c>
      <c r="I132" s="5" t="s">
        <v>2049</v>
      </c>
      <c r="J132" s="5" t="s">
        <v>2021</v>
      </c>
      <c r="K132" s="5" t="str">
        <f>VLOOKUP(J132,Sheet2!$A$1:$B$11,2,FALSE)</f>
        <v>Casual Wear</v>
      </c>
      <c r="L132" s="5">
        <v>3</v>
      </c>
      <c r="M132" s="6">
        <v>655</v>
      </c>
      <c r="N132" s="6">
        <v>1965</v>
      </c>
      <c r="O132" s="7">
        <v>0.05</v>
      </c>
      <c r="P132" s="8">
        <f t="shared" si="4"/>
        <v>98.25</v>
      </c>
      <c r="Q132" s="9">
        <f t="shared" si="5"/>
        <v>1866.75</v>
      </c>
      <c r="R132" s="5">
        <v>37</v>
      </c>
      <c r="S132" s="5" t="s">
        <v>2033</v>
      </c>
      <c r="T132" s="5" t="s">
        <v>2037</v>
      </c>
    </row>
    <row r="133" spans="1:20" x14ac:dyDescent="0.25">
      <c r="A133" s="5" t="s">
        <v>146</v>
      </c>
      <c r="B133" s="10">
        <v>45495</v>
      </c>
      <c r="C133" s="5" t="s">
        <v>1016</v>
      </c>
      <c r="D133" s="11" t="s">
        <v>1152</v>
      </c>
      <c r="E133" s="5" t="s">
        <v>2188</v>
      </c>
      <c r="F133" s="5">
        <v>41</v>
      </c>
      <c r="G133" s="5" t="str" cm="1">
        <f t="array" ref="G133">_xlfn.IFS(F133&lt;12,"Child",F133&lt;18,"Teen",F133&lt;25,"Young",F133&lt;40,"Adult",F133&lt;60,"Middle Age",F133&gt;=60,"Old")</f>
        <v>Middle Age</v>
      </c>
      <c r="H133" s="5" t="s">
        <v>2044</v>
      </c>
      <c r="I133" s="5" t="s">
        <v>2048</v>
      </c>
      <c r="J133" s="5" t="s">
        <v>2023</v>
      </c>
      <c r="K133" s="5" t="str">
        <f>VLOOKUP(J133,Sheet2!$A$1:$B$11,2,FALSE)</f>
        <v>Formal Wear</v>
      </c>
      <c r="L133" s="5">
        <v>2</v>
      </c>
      <c r="M133" s="6">
        <v>459</v>
      </c>
      <c r="N133" s="6">
        <v>918</v>
      </c>
      <c r="O133" s="7">
        <v>0.1</v>
      </c>
      <c r="P133" s="8">
        <f t="shared" si="4"/>
        <v>91.800000000000011</v>
      </c>
      <c r="Q133" s="9">
        <f t="shared" si="5"/>
        <v>826.2</v>
      </c>
      <c r="R133" s="5">
        <v>16</v>
      </c>
      <c r="S133" s="5" t="s">
        <v>2033</v>
      </c>
      <c r="T133" s="5" t="s">
        <v>2035</v>
      </c>
    </row>
    <row r="134" spans="1:20" x14ac:dyDescent="0.25">
      <c r="A134" s="5" t="s">
        <v>147</v>
      </c>
      <c r="B134" s="10">
        <v>45623</v>
      </c>
      <c r="C134" s="5" t="s">
        <v>1017</v>
      </c>
      <c r="D134" s="11" t="s">
        <v>1153</v>
      </c>
      <c r="E134" s="5" t="s">
        <v>2189</v>
      </c>
      <c r="F134" s="5">
        <v>28</v>
      </c>
      <c r="G134" s="5" t="str" cm="1">
        <f t="array" ref="G134">_xlfn.IFS(F134&lt;12,"Child",F134&lt;18,"Teen",F134&lt;25,"Young",F134&lt;40,"Adult",F134&lt;60,"Middle Age",F134&gt;=60,"Old")</f>
        <v>Adult</v>
      </c>
      <c r="H134" s="5" t="s">
        <v>2043</v>
      </c>
      <c r="I134" s="5" t="s">
        <v>2015</v>
      </c>
      <c r="J134" s="5" t="s">
        <v>2025</v>
      </c>
      <c r="K134" s="5" t="str">
        <f>VLOOKUP(J134,Sheet2!$A$1:$B$11,2,FALSE)</f>
        <v>Formal Wear</v>
      </c>
      <c r="L134" s="5">
        <v>1</v>
      </c>
      <c r="M134" s="6">
        <v>836</v>
      </c>
      <c r="N134" s="6">
        <v>836</v>
      </c>
      <c r="O134" s="7">
        <v>0.1</v>
      </c>
      <c r="P134" s="8">
        <f t="shared" si="4"/>
        <v>83.600000000000009</v>
      </c>
      <c r="Q134" s="9">
        <f t="shared" si="5"/>
        <v>752.4</v>
      </c>
      <c r="R134" s="5">
        <v>15</v>
      </c>
      <c r="S134" s="5" t="s">
        <v>2032</v>
      </c>
      <c r="T134" s="5" t="s">
        <v>2037</v>
      </c>
    </row>
    <row r="135" spans="1:20" x14ac:dyDescent="0.25">
      <c r="A135" s="5" t="s">
        <v>148</v>
      </c>
      <c r="B135" s="10">
        <v>45467</v>
      </c>
      <c r="C135" s="5" t="s">
        <v>1016</v>
      </c>
      <c r="D135" s="11" t="s">
        <v>1154</v>
      </c>
      <c r="E135" s="5" t="s">
        <v>2190</v>
      </c>
      <c r="F135" s="5">
        <v>48</v>
      </c>
      <c r="G135" s="5" t="str" cm="1">
        <f t="array" ref="G135">_xlfn.IFS(F135&lt;12,"Child",F135&lt;18,"Teen",F135&lt;25,"Young",F135&lt;40,"Adult",F135&lt;60,"Middle Age",F135&gt;=60,"Old")</f>
        <v>Middle Age</v>
      </c>
      <c r="H135" s="5" t="s">
        <v>2043</v>
      </c>
      <c r="I135" s="5" t="s">
        <v>2053</v>
      </c>
      <c r="J135" s="5" t="s">
        <v>2020</v>
      </c>
      <c r="K135" s="5" t="str">
        <f>VLOOKUP(J135,Sheet2!$A$1:$B$11,2,FALSE)</f>
        <v>Summer Wear</v>
      </c>
      <c r="L135" s="5">
        <v>3</v>
      </c>
      <c r="M135" s="6">
        <v>1028</v>
      </c>
      <c r="N135" s="6">
        <v>3084</v>
      </c>
      <c r="O135" s="7">
        <v>0.15</v>
      </c>
      <c r="P135" s="8">
        <f t="shared" si="4"/>
        <v>462.59999999999997</v>
      </c>
      <c r="Q135" s="9">
        <f t="shared" si="5"/>
        <v>2621.4</v>
      </c>
      <c r="R135" s="5">
        <v>52</v>
      </c>
      <c r="S135" s="5" t="s">
        <v>2034</v>
      </c>
      <c r="T135" s="5" t="s">
        <v>2036</v>
      </c>
    </row>
    <row r="136" spans="1:20" x14ac:dyDescent="0.25">
      <c r="A136" s="5" t="s">
        <v>149</v>
      </c>
      <c r="B136" s="10">
        <v>45495</v>
      </c>
      <c r="C136" s="5" t="s">
        <v>1016</v>
      </c>
      <c r="D136" s="11" t="s">
        <v>1155</v>
      </c>
      <c r="E136" s="5" t="s">
        <v>2191</v>
      </c>
      <c r="F136" s="5">
        <v>31</v>
      </c>
      <c r="G136" s="5" t="str" cm="1">
        <f t="array" ref="G136">_xlfn.IFS(F136&lt;12,"Child",F136&lt;18,"Teen",F136&lt;25,"Young",F136&lt;40,"Adult",F136&lt;60,"Middle Age",F136&gt;=60,"Old")</f>
        <v>Adult</v>
      </c>
      <c r="H136" s="5" t="s">
        <v>2043</v>
      </c>
      <c r="I136" s="5" t="s">
        <v>2015</v>
      </c>
      <c r="J136" s="5" t="s">
        <v>2018</v>
      </c>
      <c r="K136" s="5" t="str">
        <f>VLOOKUP(J136,Sheet2!$A$1:$B$11,2,FALSE)</f>
        <v>Sportswear</v>
      </c>
      <c r="L136" s="5">
        <v>1</v>
      </c>
      <c r="M136" s="6">
        <v>302</v>
      </c>
      <c r="N136" s="6">
        <v>302</v>
      </c>
      <c r="O136" s="7">
        <v>0.05</v>
      </c>
      <c r="P136" s="8">
        <f t="shared" si="4"/>
        <v>15.100000000000001</v>
      </c>
      <c r="Q136" s="9">
        <f t="shared" si="5"/>
        <v>286.89999999999998</v>
      </c>
      <c r="R136" s="5">
        <v>5</v>
      </c>
      <c r="S136" s="5" t="s">
        <v>2033</v>
      </c>
      <c r="T136" s="5" t="s">
        <v>2035</v>
      </c>
    </row>
    <row r="137" spans="1:20" x14ac:dyDescent="0.25">
      <c r="A137" s="5" t="s">
        <v>150</v>
      </c>
      <c r="B137" s="10">
        <v>45515</v>
      </c>
      <c r="C137" s="5" t="s">
        <v>1015</v>
      </c>
      <c r="D137" s="11" t="s">
        <v>1156</v>
      </c>
      <c r="E137" s="5" t="s">
        <v>2192</v>
      </c>
      <c r="F137" s="5">
        <v>56</v>
      </c>
      <c r="G137" s="5" t="str" cm="1">
        <f t="array" ref="G137">_xlfn.IFS(F137&lt;12,"Child",F137&lt;18,"Teen",F137&lt;25,"Young",F137&lt;40,"Adult",F137&lt;60,"Middle Age",F137&gt;=60,"Old")</f>
        <v>Middle Age</v>
      </c>
      <c r="H137" s="5" t="s">
        <v>2044</v>
      </c>
      <c r="I137" s="5" t="s">
        <v>2052</v>
      </c>
      <c r="J137" s="5" t="s">
        <v>2019</v>
      </c>
      <c r="K137" s="5" t="str">
        <f>VLOOKUP(J137,Sheet2!$A$1:$B$11,2,FALSE)</f>
        <v>Formal Wear</v>
      </c>
      <c r="L137" s="5">
        <v>5</v>
      </c>
      <c r="M137" s="6">
        <v>873</v>
      </c>
      <c r="N137" s="6">
        <v>4365</v>
      </c>
      <c r="O137" s="7">
        <v>0.15</v>
      </c>
      <c r="P137" s="8">
        <f t="shared" si="4"/>
        <v>654.75</v>
      </c>
      <c r="Q137" s="9">
        <f t="shared" si="5"/>
        <v>3710.25</v>
      </c>
      <c r="R137" s="5">
        <v>74</v>
      </c>
      <c r="S137" s="5" t="s">
        <v>2033</v>
      </c>
      <c r="T137" s="5" t="s">
        <v>2037</v>
      </c>
    </row>
    <row r="138" spans="1:20" x14ac:dyDescent="0.25">
      <c r="A138" s="5" t="s">
        <v>151</v>
      </c>
      <c r="B138" s="10">
        <v>45381</v>
      </c>
      <c r="C138" s="5" t="s">
        <v>1020</v>
      </c>
      <c r="D138" s="11" t="s">
        <v>1157</v>
      </c>
      <c r="E138" s="5" t="s">
        <v>2193</v>
      </c>
      <c r="F138" s="5">
        <v>28</v>
      </c>
      <c r="G138" s="5" t="str" cm="1">
        <f t="array" ref="G138">_xlfn.IFS(F138&lt;12,"Child",F138&lt;18,"Teen",F138&lt;25,"Young",F138&lt;40,"Adult",F138&lt;60,"Middle Age",F138&gt;=60,"Old")</f>
        <v>Adult</v>
      </c>
      <c r="H138" s="5" t="s">
        <v>2043</v>
      </c>
      <c r="I138" s="5" t="s">
        <v>2045</v>
      </c>
      <c r="J138" s="5" t="s">
        <v>2018</v>
      </c>
      <c r="K138" s="5" t="str">
        <f>VLOOKUP(J138,Sheet2!$A$1:$B$11,2,FALSE)</f>
        <v>Sportswear</v>
      </c>
      <c r="L138" s="5">
        <v>1</v>
      </c>
      <c r="M138" s="6">
        <v>513</v>
      </c>
      <c r="N138" s="6">
        <v>513</v>
      </c>
      <c r="O138" s="7">
        <v>0.15</v>
      </c>
      <c r="P138" s="8">
        <f t="shared" si="4"/>
        <v>76.95</v>
      </c>
      <c r="Q138" s="9">
        <f t="shared" si="5"/>
        <v>436.05</v>
      </c>
      <c r="R138" s="5">
        <v>8</v>
      </c>
      <c r="S138" s="5" t="s">
        <v>2034</v>
      </c>
      <c r="T138" s="5" t="s">
        <v>2037</v>
      </c>
    </row>
    <row r="139" spans="1:20" x14ac:dyDescent="0.25">
      <c r="A139" s="5" t="s">
        <v>152</v>
      </c>
      <c r="B139" s="10">
        <v>45652</v>
      </c>
      <c r="C139" s="5" t="s">
        <v>1018</v>
      </c>
      <c r="D139" s="11" t="s">
        <v>1158</v>
      </c>
      <c r="E139" s="5" t="s">
        <v>2194</v>
      </c>
      <c r="F139" s="5">
        <v>47</v>
      </c>
      <c r="G139" s="5" t="str" cm="1">
        <f t="array" ref="G139">_xlfn.IFS(F139&lt;12,"Child",F139&lt;18,"Teen",F139&lt;25,"Young",F139&lt;40,"Adult",F139&lt;60,"Middle Age",F139&gt;=60,"Old")</f>
        <v>Middle Age</v>
      </c>
      <c r="H139" s="5" t="s">
        <v>2044</v>
      </c>
      <c r="I139" s="5" t="s">
        <v>2015</v>
      </c>
      <c r="J139" s="5" t="s">
        <v>2025</v>
      </c>
      <c r="K139" s="5" t="str">
        <f>VLOOKUP(J139,Sheet2!$A$1:$B$11,2,FALSE)</f>
        <v>Formal Wear</v>
      </c>
      <c r="L139" s="5">
        <v>4</v>
      </c>
      <c r="M139" s="6">
        <v>822</v>
      </c>
      <c r="N139" s="6">
        <v>3288</v>
      </c>
      <c r="O139" s="7">
        <v>0.1</v>
      </c>
      <c r="P139" s="8">
        <f t="shared" si="4"/>
        <v>328.8</v>
      </c>
      <c r="Q139" s="9">
        <f t="shared" si="5"/>
        <v>2959.2</v>
      </c>
      <c r="R139" s="5">
        <v>59</v>
      </c>
      <c r="S139" s="5" t="s">
        <v>2034</v>
      </c>
      <c r="T139" s="5" t="s">
        <v>2035</v>
      </c>
    </row>
    <row r="140" spans="1:20" x14ac:dyDescent="0.25">
      <c r="A140" s="5" t="s">
        <v>153</v>
      </c>
      <c r="B140" s="10">
        <v>45488</v>
      </c>
      <c r="C140" s="5" t="s">
        <v>1016</v>
      </c>
      <c r="D140" s="11" t="s">
        <v>1159</v>
      </c>
      <c r="E140" s="5" t="s">
        <v>2195</v>
      </c>
      <c r="F140" s="5">
        <v>56</v>
      </c>
      <c r="G140" s="5" t="str" cm="1">
        <f t="array" ref="G140">_xlfn.IFS(F140&lt;12,"Child",F140&lt;18,"Teen",F140&lt;25,"Young",F140&lt;40,"Adult",F140&lt;60,"Middle Age",F140&gt;=60,"Old")</f>
        <v>Middle Age</v>
      </c>
      <c r="H140" s="5" t="s">
        <v>2043</v>
      </c>
      <c r="I140" s="5" t="s">
        <v>2047</v>
      </c>
      <c r="J140" s="5" t="s">
        <v>2018</v>
      </c>
      <c r="K140" s="5" t="str">
        <f>VLOOKUP(J140,Sheet2!$A$1:$B$11,2,FALSE)</f>
        <v>Sportswear</v>
      </c>
      <c r="L140" s="5">
        <v>2</v>
      </c>
      <c r="M140" s="6">
        <v>1029</v>
      </c>
      <c r="N140" s="6">
        <v>2058</v>
      </c>
      <c r="O140" s="7">
        <v>0.1</v>
      </c>
      <c r="P140" s="8">
        <f t="shared" si="4"/>
        <v>205.8</v>
      </c>
      <c r="Q140" s="9">
        <f t="shared" si="5"/>
        <v>1852.2</v>
      </c>
      <c r="R140" s="5">
        <v>37</v>
      </c>
      <c r="S140" s="5" t="s">
        <v>2033</v>
      </c>
      <c r="T140" s="5" t="s">
        <v>2037</v>
      </c>
    </row>
    <row r="141" spans="1:20" x14ac:dyDescent="0.25">
      <c r="A141" s="5" t="s">
        <v>154</v>
      </c>
      <c r="B141" s="10">
        <v>45471</v>
      </c>
      <c r="C141" s="5" t="s">
        <v>1014</v>
      </c>
      <c r="D141" s="11" t="s">
        <v>1160</v>
      </c>
      <c r="E141" s="5" t="s">
        <v>2196</v>
      </c>
      <c r="F141" s="5">
        <v>54</v>
      </c>
      <c r="G141" s="5" t="str" cm="1">
        <f t="array" ref="G141">_xlfn.IFS(F141&lt;12,"Child",F141&lt;18,"Teen",F141&lt;25,"Young",F141&lt;40,"Adult",F141&lt;60,"Middle Age",F141&gt;=60,"Old")</f>
        <v>Middle Age</v>
      </c>
      <c r="H141" s="5" t="s">
        <v>2043</v>
      </c>
      <c r="I141" s="5" t="s">
        <v>2051</v>
      </c>
      <c r="J141" s="5" t="s">
        <v>2025</v>
      </c>
      <c r="K141" s="5" t="str">
        <f>VLOOKUP(J141,Sheet2!$A$1:$B$11,2,FALSE)</f>
        <v>Formal Wear</v>
      </c>
      <c r="L141" s="5">
        <v>2</v>
      </c>
      <c r="M141" s="6">
        <v>476</v>
      </c>
      <c r="N141" s="6">
        <v>952</v>
      </c>
      <c r="O141" s="7">
        <v>0.15</v>
      </c>
      <c r="P141" s="8">
        <f t="shared" si="4"/>
        <v>142.79999999999998</v>
      </c>
      <c r="Q141" s="9">
        <f t="shared" si="5"/>
        <v>809.2</v>
      </c>
      <c r="R141" s="5">
        <v>16</v>
      </c>
      <c r="S141" s="5" t="s">
        <v>2032</v>
      </c>
      <c r="T141" s="5" t="s">
        <v>2036</v>
      </c>
    </row>
    <row r="142" spans="1:20" x14ac:dyDescent="0.25">
      <c r="A142" s="5" t="s">
        <v>155</v>
      </c>
      <c r="B142" s="10">
        <v>45615</v>
      </c>
      <c r="C142" s="5" t="s">
        <v>1019</v>
      </c>
      <c r="D142" s="11" t="s">
        <v>1161</v>
      </c>
      <c r="E142" s="5" t="s">
        <v>2197</v>
      </c>
      <c r="F142" s="5">
        <v>33</v>
      </c>
      <c r="G142" s="5" t="str" cm="1">
        <f t="array" ref="G142">_xlfn.IFS(F142&lt;12,"Child",F142&lt;18,"Teen",F142&lt;25,"Young",F142&lt;40,"Adult",F142&lt;60,"Middle Age",F142&gt;=60,"Old")</f>
        <v>Adult</v>
      </c>
      <c r="H142" s="5" t="s">
        <v>2043</v>
      </c>
      <c r="I142" s="5" t="s">
        <v>2050</v>
      </c>
      <c r="J142" s="5" t="s">
        <v>2017</v>
      </c>
      <c r="K142" s="5" t="str">
        <f>VLOOKUP(J142,Sheet2!$A$1:$B$11,2,FALSE)</f>
        <v>Casual Wear</v>
      </c>
      <c r="L142" s="5">
        <v>4</v>
      </c>
      <c r="M142" s="6">
        <v>262</v>
      </c>
      <c r="N142" s="6">
        <v>1048</v>
      </c>
      <c r="O142" s="7">
        <v>0</v>
      </c>
      <c r="P142" s="8">
        <f t="shared" si="4"/>
        <v>0</v>
      </c>
      <c r="Q142" s="9">
        <f t="shared" si="5"/>
        <v>1048</v>
      </c>
      <c r="R142" s="5">
        <v>20</v>
      </c>
      <c r="S142" s="5" t="s">
        <v>2034</v>
      </c>
      <c r="T142" s="5" t="s">
        <v>2035</v>
      </c>
    </row>
    <row r="143" spans="1:20" x14ac:dyDescent="0.25">
      <c r="A143" s="5" t="s">
        <v>156</v>
      </c>
      <c r="B143" s="10">
        <v>45437</v>
      </c>
      <c r="C143" s="5" t="s">
        <v>1020</v>
      </c>
      <c r="D143" s="11" t="s">
        <v>1162</v>
      </c>
      <c r="E143" s="5" t="s">
        <v>2198</v>
      </c>
      <c r="F143" s="5">
        <v>18</v>
      </c>
      <c r="G143" s="5" t="str" cm="1">
        <f t="array" ref="G143">_xlfn.IFS(F143&lt;12,"Child",F143&lt;18,"Teen",F143&lt;25,"Young",F143&lt;40,"Adult",F143&lt;60,"Middle Age",F143&gt;=60,"Old")</f>
        <v>Young</v>
      </c>
      <c r="H143" s="5" t="s">
        <v>2043</v>
      </c>
      <c r="I143" s="5" t="s">
        <v>2052</v>
      </c>
      <c r="J143" s="5" t="s">
        <v>2023</v>
      </c>
      <c r="K143" s="5" t="str">
        <f>VLOOKUP(J143,Sheet2!$A$1:$B$11,2,FALSE)</f>
        <v>Formal Wear</v>
      </c>
      <c r="L143" s="5">
        <v>5</v>
      </c>
      <c r="M143" s="6">
        <v>882</v>
      </c>
      <c r="N143" s="6">
        <v>4410</v>
      </c>
      <c r="O143" s="7">
        <v>0</v>
      </c>
      <c r="P143" s="8">
        <f t="shared" si="4"/>
        <v>0</v>
      </c>
      <c r="Q143" s="9">
        <f t="shared" si="5"/>
        <v>4410</v>
      </c>
      <c r="R143" s="5">
        <v>88</v>
      </c>
      <c r="S143" s="5" t="s">
        <v>2034</v>
      </c>
      <c r="T143" s="5" t="s">
        <v>2037</v>
      </c>
    </row>
    <row r="144" spans="1:20" x14ac:dyDescent="0.25">
      <c r="A144" s="5" t="s">
        <v>157</v>
      </c>
      <c r="B144" s="10">
        <v>45518</v>
      </c>
      <c r="C144" s="5" t="s">
        <v>1017</v>
      </c>
      <c r="D144" s="11" t="s">
        <v>1163</v>
      </c>
      <c r="E144" s="5" t="s">
        <v>2199</v>
      </c>
      <c r="F144" s="5">
        <v>55</v>
      </c>
      <c r="G144" s="5" t="str" cm="1">
        <f t="array" ref="G144">_xlfn.IFS(F144&lt;12,"Child",F144&lt;18,"Teen",F144&lt;25,"Young",F144&lt;40,"Adult",F144&lt;60,"Middle Age",F144&gt;=60,"Old")</f>
        <v>Middle Age</v>
      </c>
      <c r="H144" s="5" t="s">
        <v>2044</v>
      </c>
      <c r="I144" s="5" t="s">
        <v>2047</v>
      </c>
      <c r="J144" s="5" t="s">
        <v>2019</v>
      </c>
      <c r="K144" s="5" t="str">
        <f>VLOOKUP(J144,Sheet2!$A$1:$B$11,2,FALSE)</f>
        <v>Formal Wear</v>
      </c>
      <c r="L144" s="5">
        <v>3</v>
      </c>
      <c r="M144" s="6">
        <v>1045</v>
      </c>
      <c r="N144" s="6">
        <v>3135</v>
      </c>
      <c r="O144" s="7">
        <v>0.1</v>
      </c>
      <c r="P144" s="8">
        <f t="shared" si="4"/>
        <v>313.5</v>
      </c>
      <c r="Q144" s="9">
        <f t="shared" si="5"/>
        <v>2821.5</v>
      </c>
      <c r="R144" s="5">
        <v>56</v>
      </c>
      <c r="S144" s="5" t="s">
        <v>2032</v>
      </c>
      <c r="T144" s="5" t="s">
        <v>2036</v>
      </c>
    </row>
    <row r="145" spans="1:20" x14ac:dyDescent="0.25">
      <c r="A145" s="5" t="s">
        <v>158</v>
      </c>
      <c r="B145" s="10">
        <v>45539</v>
      </c>
      <c r="C145" s="5" t="s">
        <v>1017</v>
      </c>
      <c r="D145" s="11" t="s">
        <v>1164</v>
      </c>
      <c r="E145" s="5" t="s">
        <v>2200</v>
      </c>
      <c r="F145" s="5">
        <v>31</v>
      </c>
      <c r="G145" s="5" t="str" cm="1">
        <f t="array" ref="G145">_xlfn.IFS(F145&lt;12,"Child",F145&lt;18,"Teen",F145&lt;25,"Young",F145&lt;40,"Adult",F145&lt;60,"Middle Age",F145&gt;=60,"Old")</f>
        <v>Adult</v>
      </c>
      <c r="H145" s="5" t="s">
        <v>2043</v>
      </c>
      <c r="I145" s="5" t="s">
        <v>2051</v>
      </c>
      <c r="J145" s="5" t="s">
        <v>2022</v>
      </c>
      <c r="K145" s="5" t="str">
        <f>VLOOKUP(J145,Sheet2!$A$1:$B$11,2,FALSE)</f>
        <v>Sportswear</v>
      </c>
      <c r="L145" s="5">
        <v>3</v>
      </c>
      <c r="M145" s="6">
        <v>417</v>
      </c>
      <c r="N145" s="6">
        <v>1251</v>
      </c>
      <c r="O145" s="7">
        <v>0</v>
      </c>
      <c r="P145" s="8">
        <f t="shared" si="4"/>
        <v>0</v>
      </c>
      <c r="Q145" s="9">
        <f t="shared" si="5"/>
        <v>1251</v>
      </c>
      <c r="R145" s="5">
        <v>25</v>
      </c>
      <c r="S145" s="5" t="s">
        <v>2033</v>
      </c>
      <c r="T145" s="5" t="s">
        <v>2037</v>
      </c>
    </row>
    <row r="146" spans="1:20" x14ac:dyDescent="0.25">
      <c r="A146" s="5" t="s">
        <v>159</v>
      </c>
      <c r="B146" s="10">
        <v>45678</v>
      </c>
      <c r="C146" s="5" t="s">
        <v>1019</v>
      </c>
      <c r="D146" s="11" t="s">
        <v>1165</v>
      </c>
      <c r="E146" s="5" t="s">
        <v>2201</v>
      </c>
      <c r="F146" s="5">
        <v>51</v>
      </c>
      <c r="G146" s="5" t="str" cm="1">
        <f t="array" ref="G146">_xlfn.IFS(F146&lt;12,"Child",F146&lt;18,"Teen",F146&lt;25,"Young",F146&lt;40,"Adult",F146&lt;60,"Middle Age",F146&gt;=60,"Old")</f>
        <v>Middle Age</v>
      </c>
      <c r="H146" s="5" t="s">
        <v>2043</v>
      </c>
      <c r="I146" s="5" t="s">
        <v>2015</v>
      </c>
      <c r="J146" s="5" t="s">
        <v>2024</v>
      </c>
      <c r="K146" s="5" t="str">
        <f>VLOOKUP(J146,Sheet2!$A$1:$B$11,2,FALSE)</f>
        <v>Fashion Accessories</v>
      </c>
      <c r="L146" s="5">
        <v>5</v>
      </c>
      <c r="M146" s="6">
        <v>195</v>
      </c>
      <c r="N146" s="6">
        <v>975</v>
      </c>
      <c r="O146" s="7">
        <v>0.1</v>
      </c>
      <c r="P146" s="8">
        <f t="shared" si="4"/>
        <v>97.5</v>
      </c>
      <c r="Q146" s="9">
        <f t="shared" si="5"/>
        <v>877.5</v>
      </c>
      <c r="R146" s="5">
        <v>17</v>
      </c>
      <c r="S146" s="5" t="s">
        <v>2034</v>
      </c>
      <c r="T146" s="5" t="s">
        <v>2037</v>
      </c>
    </row>
    <row r="147" spans="1:20" x14ac:dyDescent="0.25">
      <c r="A147" s="5" t="s">
        <v>160</v>
      </c>
      <c r="B147" s="10">
        <v>45516</v>
      </c>
      <c r="C147" s="5" t="s">
        <v>1016</v>
      </c>
      <c r="D147" s="11" t="s">
        <v>1166</v>
      </c>
      <c r="E147" s="5" t="s">
        <v>2202</v>
      </c>
      <c r="F147" s="5">
        <v>25</v>
      </c>
      <c r="G147" s="5" t="str" cm="1">
        <f t="array" ref="G147">_xlfn.IFS(F147&lt;12,"Child",F147&lt;18,"Teen",F147&lt;25,"Young",F147&lt;40,"Adult",F147&lt;60,"Middle Age",F147&gt;=60,"Old")</f>
        <v>Adult</v>
      </c>
      <c r="H147" s="5" t="s">
        <v>2043</v>
      </c>
      <c r="I147" s="5" t="s">
        <v>2052</v>
      </c>
      <c r="J147" s="5" t="s">
        <v>2018</v>
      </c>
      <c r="K147" s="5" t="str">
        <f>VLOOKUP(J147,Sheet2!$A$1:$B$11,2,FALSE)</f>
        <v>Sportswear</v>
      </c>
      <c r="L147" s="5">
        <v>3</v>
      </c>
      <c r="M147" s="6">
        <v>1067</v>
      </c>
      <c r="N147" s="6">
        <v>3201</v>
      </c>
      <c r="O147" s="7">
        <v>0</v>
      </c>
      <c r="P147" s="8">
        <f t="shared" si="4"/>
        <v>0</v>
      </c>
      <c r="Q147" s="9">
        <f t="shared" si="5"/>
        <v>3201</v>
      </c>
      <c r="R147" s="5">
        <v>64</v>
      </c>
      <c r="S147" s="5" t="s">
        <v>2033</v>
      </c>
      <c r="T147" s="5" t="s">
        <v>2037</v>
      </c>
    </row>
    <row r="148" spans="1:20" x14ac:dyDescent="0.25">
      <c r="A148" s="5" t="s">
        <v>161</v>
      </c>
      <c r="B148" s="10">
        <v>45363</v>
      </c>
      <c r="C148" s="5" t="s">
        <v>1019</v>
      </c>
      <c r="D148" s="11" t="s">
        <v>1167</v>
      </c>
      <c r="E148" s="5" t="s">
        <v>2203</v>
      </c>
      <c r="F148" s="5">
        <v>38</v>
      </c>
      <c r="G148" s="5" t="str" cm="1">
        <f t="array" ref="G148">_xlfn.IFS(F148&lt;12,"Child",F148&lt;18,"Teen",F148&lt;25,"Young",F148&lt;40,"Adult",F148&lt;60,"Middle Age",F148&gt;=60,"Old")</f>
        <v>Adult</v>
      </c>
      <c r="H148" s="5" t="s">
        <v>2043</v>
      </c>
      <c r="I148" s="5" t="s">
        <v>2049</v>
      </c>
      <c r="J148" s="5" t="s">
        <v>2022</v>
      </c>
      <c r="K148" s="5" t="str">
        <f>VLOOKUP(J148,Sheet2!$A$1:$B$11,2,FALSE)</f>
        <v>Sportswear</v>
      </c>
      <c r="L148" s="5">
        <v>2</v>
      </c>
      <c r="M148" s="6">
        <v>195</v>
      </c>
      <c r="N148" s="6">
        <v>390</v>
      </c>
      <c r="O148" s="7">
        <v>0.2</v>
      </c>
      <c r="P148" s="8">
        <f t="shared" si="4"/>
        <v>78</v>
      </c>
      <c r="Q148" s="9">
        <f t="shared" si="5"/>
        <v>312</v>
      </c>
      <c r="R148" s="5">
        <v>6</v>
      </c>
      <c r="S148" s="5" t="s">
        <v>2034</v>
      </c>
      <c r="T148" s="5" t="s">
        <v>2035</v>
      </c>
    </row>
    <row r="149" spans="1:20" x14ac:dyDescent="0.25">
      <c r="A149" s="5" t="s">
        <v>162</v>
      </c>
      <c r="B149" s="10">
        <v>45365</v>
      </c>
      <c r="C149" s="5" t="s">
        <v>1018</v>
      </c>
      <c r="D149" s="11" t="s">
        <v>1168</v>
      </c>
      <c r="E149" s="5" t="s">
        <v>2204</v>
      </c>
      <c r="F149" s="5">
        <v>28</v>
      </c>
      <c r="G149" s="5" t="str" cm="1">
        <f t="array" ref="G149">_xlfn.IFS(F149&lt;12,"Child",F149&lt;18,"Teen",F149&lt;25,"Young",F149&lt;40,"Adult",F149&lt;60,"Middle Age",F149&gt;=60,"Old")</f>
        <v>Adult</v>
      </c>
      <c r="H149" s="5" t="s">
        <v>2043</v>
      </c>
      <c r="I149" s="5" t="s">
        <v>2051</v>
      </c>
      <c r="J149" s="5" t="s">
        <v>2020</v>
      </c>
      <c r="K149" s="5" t="str">
        <f>VLOOKUP(J149,Sheet2!$A$1:$B$11,2,FALSE)</f>
        <v>Summer Wear</v>
      </c>
      <c r="L149" s="5">
        <v>1</v>
      </c>
      <c r="M149" s="6">
        <v>490</v>
      </c>
      <c r="N149" s="6">
        <v>490</v>
      </c>
      <c r="O149" s="7">
        <v>0.2</v>
      </c>
      <c r="P149" s="8">
        <f t="shared" si="4"/>
        <v>98</v>
      </c>
      <c r="Q149" s="9">
        <f t="shared" si="5"/>
        <v>392</v>
      </c>
      <c r="R149" s="5">
        <v>7</v>
      </c>
      <c r="S149" s="5" t="s">
        <v>2034</v>
      </c>
      <c r="T149" s="5" t="s">
        <v>2036</v>
      </c>
    </row>
    <row r="150" spans="1:20" x14ac:dyDescent="0.25">
      <c r="A150" s="5" t="s">
        <v>163</v>
      </c>
      <c r="B150" s="10">
        <v>45506</v>
      </c>
      <c r="C150" s="5" t="s">
        <v>1014</v>
      </c>
      <c r="D150" s="11" t="s">
        <v>1169</v>
      </c>
      <c r="E150" s="5" t="s">
        <v>2205</v>
      </c>
      <c r="F150" s="5">
        <v>56</v>
      </c>
      <c r="G150" s="5" t="str" cm="1">
        <f t="array" ref="G150">_xlfn.IFS(F150&lt;12,"Child",F150&lt;18,"Teen",F150&lt;25,"Young",F150&lt;40,"Adult",F150&lt;60,"Middle Age",F150&gt;=60,"Old")</f>
        <v>Middle Age</v>
      </c>
      <c r="H150" s="5" t="s">
        <v>2044</v>
      </c>
      <c r="I150" s="5" t="s">
        <v>2049</v>
      </c>
      <c r="J150" s="5" t="s">
        <v>2024</v>
      </c>
      <c r="K150" s="5" t="str">
        <f>VLOOKUP(J150,Sheet2!$A$1:$B$11,2,FALSE)</f>
        <v>Fashion Accessories</v>
      </c>
      <c r="L150" s="5">
        <v>3</v>
      </c>
      <c r="M150" s="6">
        <v>157</v>
      </c>
      <c r="N150" s="6">
        <v>471</v>
      </c>
      <c r="O150" s="7">
        <v>0</v>
      </c>
      <c r="P150" s="8">
        <f t="shared" si="4"/>
        <v>0</v>
      </c>
      <c r="Q150" s="9">
        <f t="shared" si="5"/>
        <v>471</v>
      </c>
      <c r="R150" s="5">
        <v>9</v>
      </c>
      <c r="S150" s="5" t="s">
        <v>2032</v>
      </c>
      <c r="T150" s="5" t="s">
        <v>2035</v>
      </c>
    </row>
    <row r="151" spans="1:20" x14ac:dyDescent="0.25">
      <c r="A151" s="5" t="s">
        <v>164</v>
      </c>
      <c r="B151" s="10">
        <v>45389</v>
      </c>
      <c r="C151" s="5" t="s">
        <v>1015</v>
      </c>
      <c r="D151" s="11" t="s">
        <v>1170</v>
      </c>
      <c r="E151" s="5" t="s">
        <v>2206</v>
      </c>
      <c r="F151" s="5">
        <v>46</v>
      </c>
      <c r="G151" s="5" t="str" cm="1">
        <f t="array" ref="G151">_xlfn.IFS(F151&lt;12,"Child",F151&lt;18,"Teen",F151&lt;25,"Young",F151&lt;40,"Adult",F151&lt;60,"Middle Age",F151&gt;=60,"Old")</f>
        <v>Middle Age</v>
      </c>
      <c r="H151" s="5" t="s">
        <v>2043</v>
      </c>
      <c r="I151" s="5" t="s">
        <v>2049</v>
      </c>
      <c r="J151" s="5" t="s">
        <v>2025</v>
      </c>
      <c r="K151" s="5" t="str">
        <f>VLOOKUP(J151,Sheet2!$A$1:$B$11,2,FALSE)</f>
        <v>Formal Wear</v>
      </c>
      <c r="L151" s="5">
        <v>4</v>
      </c>
      <c r="M151" s="6">
        <v>379</v>
      </c>
      <c r="N151" s="6">
        <v>1516</v>
      </c>
      <c r="O151" s="7">
        <v>0.2</v>
      </c>
      <c r="P151" s="8">
        <f t="shared" si="4"/>
        <v>303.2</v>
      </c>
      <c r="Q151" s="9">
        <f t="shared" si="5"/>
        <v>1212.8</v>
      </c>
      <c r="R151" s="5">
        <v>24</v>
      </c>
      <c r="S151" s="5" t="s">
        <v>2034</v>
      </c>
      <c r="T151" s="5" t="s">
        <v>2036</v>
      </c>
    </row>
    <row r="152" spans="1:20" x14ac:dyDescent="0.25">
      <c r="A152" s="5" t="s">
        <v>165</v>
      </c>
      <c r="B152" s="10">
        <v>45632</v>
      </c>
      <c r="C152" s="5" t="s">
        <v>1014</v>
      </c>
      <c r="D152" s="11" t="s">
        <v>1171</v>
      </c>
      <c r="E152" s="5" t="s">
        <v>2207</v>
      </c>
      <c r="F152" s="5">
        <v>55</v>
      </c>
      <c r="G152" s="5" t="str" cm="1">
        <f t="array" ref="G152">_xlfn.IFS(F152&lt;12,"Child",F152&lt;18,"Teen",F152&lt;25,"Young",F152&lt;40,"Adult",F152&lt;60,"Middle Age",F152&gt;=60,"Old")</f>
        <v>Middle Age</v>
      </c>
      <c r="H152" s="5" t="s">
        <v>2043</v>
      </c>
      <c r="I152" s="5" t="s">
        <v>2051</v>
      </c>
      <c r="J152" s="5" t="s">
        <v>2017</v>
      </c>
      <c r="K152" s="5" t="str">
        <f>VLOOKUP(J152,Sheet2!$A$1:$B$11,2,FALSE)</f>
        <v>Casual Wear</v>
      </c>
      <c r="L152" s="5">
        <v>2</v>
      </c>
      <c r="M152" s="6">
        <v>515</v>
      </c>
      <c r="N152" s="6">
        <v>1030</v>
      </c>
      <c r="O152" s="7">
        <v>0</v>
      </c>
      <c r="P152" s="8">
        <f t="shared" si="4"/>
        <v>0</v>
      </c>
      <c r="Q152" s="9">
        <f t="shared" si="5"/>
        <v>1030</v>
      </c>
      <c r="R152" s="5">
        <v>20</v>
      </c>
      <c r="S152" s="5" t="s">
        <v>2033</v>
      </c>
      <c r="T152" s="5" t="s">
        <v>2037</v>
      </c>
    </row>
    <row r="153" spans="1:20" x14ac:dyDescent="0.25">
      <c r="A153" s="5" t="s">
        <v>166</v>
      </c>
      <c r="B153" s="10">
        <v>45394</v>
      </c>
      <c r="C153" s="5" t="s">
        <v>1014</v>
      </c>
      <c r="D153" s="11" t="s">
        <v>1172</v>
      </c>
      <c r="E153" s="5" t="s">
        <v>2208</v>
      </c>
      <c r="F153" s="5">
        <v>30</v>
      </c>
      <c r="G153" s="5" t="str" cm="1">
        <f t="array" ref="G153">_xlfn.IFS(F153&lt;12,"Child",F153&lt;18,"Teen",F153&lt;25,"Young",F153&lt;40,"Adult",F153&lt;60,"Middle Age",F153&gt;=60,"Old")</f>
        <v>Adult</v>
      </c>
      <c r="H153" s="5" t="s">
        <v>2043</v>
      </c>
      <c r="I153" s="5" t="s">
        <v>2048</v>
      </c>
      <c r="J153" s="5" t="s">
        <v>2018</v>
      </c>
      <c r="K153" s="5" t="str">
        <f>VLOOKUP(J153,Sheet2!$A$1:$B$11,2,FALSE)</f>
        <v>Sportswear</v>
      </c>
      <c r="L153" s="5">
        <v>4</v>
      </c>
      <c r="M153" s="6">
        <v>550</v>
      </c>
      <c r="N153" s="6">
        <v>2200</v>
      </c>
      <c r="O153" s="7">
        <v>0.2</v>
      </c>
      <c r="P153" s="8">
        <f t="shared" si="4"/>
        <v>440</v>
      </c>
      <c r="Q153" s="9">
        <f t="shared" si="5"/>
        <v>1760</v>
      </c>
      <c r="R153" s="5">
        <v>35</v>
      </c>
      <c r="S153" s="5" t="s">
        <v>2034</v>
      </c>
      <c r="T153" s="5" t="s">
        <v>2035</v>
      </c>
    </row>
    <row r="154" spans="1:20" x14ac:dyDescent="0.25">
      <c r="A154" s="5" t="s">
        <v>167</v>
      </c>
      <c r="B154" s="10">
        <v>45560</v>
      </c>
      <c r="C154" s="5" t="s">
        <v>1017</v>
      </c>
      <c r="D154" s="11" t="s">
        <v>1173</v>
      </c>
      <c r="E154" s="5" t="s">
        <v>2209</v>
      </c>
      <c r="F154" s="5">
        <v>42</v>
      </c>
      <c r="G154" s="5" t="str" cm="1">
        <f t="array" ref="G154">_xlfn.IFS(F154&lt;12,"Child",F154&lt;18,"Teen",F154&lt;25,"Young",F154&lt;40,"Adult",F154&lt;60,"Middle Age",F154&gt;=60,"Old")</f>
        <v>Middle Age</v>
      </c>
      <c r="H154" s="5" t="s">
        <v>2043</v>
      </c>
      <c r="I154" s="5" t="s">
        <v>2048</v>
      </c>
      <c r="J154" s="5" t="s">
        <v>2025</v>
      </c>
      <c r="K154" s="5" t="str">
        <f>VLOOKUP(J154,Sheet2!$A$1:$B$11,2,FALSE)</f>
        <v>Formal Wear</v>
      </c>
      <c r="L154" s="5">
        <v>3</v>
      </c>
      <c r="M154" s="6">
        <v>414</v>
      </c>
      <c r="N154" s="6">
        <v>1242</v>
      </c>
      <c r="O154" s="7">
        <v>0</v>
      </c>
      <c r="P154" s="8">
        <f t="shared" si="4"/>
        <v>0</v>
      </c>
      <c r="Q154" s="9">
        <f t="shared" si="5"/>
        <v>1242</v>
      </c>
      <c r="R154" s="5">
        <v>24</v>
      </c>
      <c r="S154" s="5" t="s">
        <v>2034</v>
      </c>
      <c r="T154" s="5" t="s">
        <v>2037</v>
      </c>
    </row>
    <row r="155" spans="1:20" x14ac:dyDescent="0.25">
      <c r="A155" s="5" t="s">
        <v>168</v>
      </c>
      <c r="B155" s="10">
        <v>45516</v>
      </c>
      <c r="C155" s="5" t="s">
        <v>1016</v>
      </c>
      <c r="D155" s="11" t="s">
        <v>1174</v>
      </c>
      <c r="E155" s="5" t="s">
        <v>2210</v>
      </c>
      <c r="F155" s="5">
        <v>60</v>
      </c>
      <c r="G155" s="5" t="str" cm="1">
        <f t="array" ref="G155">_xlfn.IFS(F155&lt;12,"Child",F155&lt;18,"Teen",F155&lt;25,"Young",F155&lt;40,"Adult",F155&lt;60,"Middle Age",F155&gt;=60,"Old")</f>
        <v>Old</v>
      </c>
      <c r="H155" s="5" t="s">
        <v>2043</v>
      </c>
      <c r="I155" s="5" t="s">
        <v>2049</v>
      </c>
      <c r="J155" s="5" t="s">
        <v>2025</v>
      </c>
      <c r="K155" s="5" t="str">
        <f>VLOOKUP(J155,Sheet2!$A$1:$B$11,2,FALSE)</f>
        <v>Formal Wear</v>
      </c>
      <c r="L155" s="5">
        <v>3</v>
      </c>
      <c r="M155" s="6">
        <v>639</v>
      </c>
      <c r="N155" s="6">
        <v>1917</v>
      </c>
      <c r="O155" s="7">
        <v>0.2</v>
      </c>
      <c r="P155" s="8">
        <f t="shared" si="4"/>
        <v>383.40000000000003</v>
      </c>
      <c r="Q155" s="9">
        <f t="shared" si="5"/>
        <v>1533.6</v>
      </c>
      <c r="R155" s="5">
        <v>30</v>
      </c>
      <c r="S155" s="5" t="s">
        <v>2033</v>
      </c>
      <c r="T155" s="5" t="s">
        <v>2035</v>
      </c>
    </row>
    <row r="156" spans="1:20" x14ac:dyDescent="0.25">
      <c r="A156" s="5" t="s">
        <v>169</v>
      </c>
      <c r="B156" s="10">
        <v>45699</v>
      </c>
      <c r="C156" s="5" t="s">
        <v>1019</v>
      </c>
      <c r="D156" s="11" t="s">
        <v>1175</v>
      </c>
      <c r="E156" s="5" t="s">
        <v>2211</v>
      </c>
      <c r="F156" s="5">
        <v>53</v>
      </c>
      <c r="G156" s="5" t="str" cm="1">
        <f t="array" ref="G156">_xlfn.IFS(F156&lt;12,"Child",F156&lt;18,"Teen",F156&lt;25,"Young",F156&lt;40,"Adult",F156&lt;60,"Middle Age",F156&gt;=60,"Old")</f>
        <v>Middle Age</v>
      </c>
      <c r="H156" s="5" t="s">
        <v>2043</v>
      </c>
      <c r="I156" s="5" t="s">
        <v>2048</v>
      </c>
      <c r="J156" s="5" t="s">
        <v>2025</v>
      </c>
      <c r="K156" s="5" t="str">
        <f>VLOOKUP(J156,Sheet2!$A$1:$B$11,2,FALSE)</f>
        <v>Formal Wear</v>
      </c>
      <c r="L156" s="5">
        <v>3</v>
      </c>
      <c r="M156" s="6">
        <v>579</v>
      </c>
      <c r="N156" s="6">
        <v>1737</v>
      </c>
      <c r="O156" s="7">
        <v>0.15</v>
      </c>
      <c r="P156" s="8">
        <f t="shared" si="4"/>
        <v>260.55</v>
      </c>
      <c r="Q156" s="9">
        <f t="shared" si="5"/>
        <v>1476.45</v>
      </c>
      <c r="R156" s="5">
        <v>29</v>
      </c>
      <c r="S156" s="5" t="s">
        <v>2032</v>
      </c>
      <c r="T156" s="5" t="s">
        <v>2037</v>
      </c>
    </row>
    <row r="157" spans="1:20" x14ac:dyDescent="0.25">
      <c r="A157" s="5" t="s">
        <v>170</v>
      </c>
      <c r="B157" s="10">
        <v>45366</v>
      </c>
      <c r="C157" s="5" t="s">
        <v>1014</v>
      </c>
      <c r="D157" s="11" t="s">
        <v>1176</v>
      </c>
      <c r="E157" s="5" t="s">
        <v>2212</v>
      </c>
      <c r="F157" s="5">
        <v>35</v>
      </c>
      <c r="G157" s="5" t="str" cm="1">
        <f t="array" ref="G157">_xlfn.IFS(F157&lt;12,"Child",F157&lt;18,"Teen",F157&lt;25,"Young",F157&lt;40,"Adult",F157&lt;60,"Middle Age",F157&gt;=60,"Old")</f>
        <v>Adult</v>
      </c>
      <c r="H157" s="5" t="s">
        <v>2043</v>
      </c>
      <c r="I157" s="5" t="s">
        <v>2015</v>
      </c>
      <c r="J157" s="5" t="s">
        <v>2025</v>
      </c>
      <c r="K157" s="5" t="str">
        <f>VLOOKUP(J157,Sheet2!$A$1:$B$11,2,FALSE)</f>
        <v>Formal Wear</v>
      </c>
      <c r="L157" s="5">
        <v>3</v>
      </c>
      <c r="M157" s="6">
        <v>918</v>
      </c>
      <c r="N157" s="6">
        <v>2754</v>
      </c>
      <c r="O157" s="7">
        <v>0.15</v>
      </c>
      <c r="P157" s="8">
        <f t="shared" si="4"/>
        <v>413.09999999999997</v>
      </c>
      <c r="Q157" s="9">
        <f t="shared" si="5"/>
        <v>2340.9</v>
      </c>
      <c r="R157" s="5">
        <v>46</v>
      </c>
      <c r="S157" s="5" t="s">
        <v>2034</v>
      </c>
      <c r="T157" s="5" t="s">
        <v>2036</v>
      </c>
    </row>
    <row r="158" spans="1:20" x14ac:dyDescent="0.25">
      <c r="A158" s="5" t="s">
        <v>171</v>
      </c>
      <c r="B158" s="10">
        <v>45607</v>
      </c>
      <c r="C158" s="5" t="s">
        <v>1016</v>
      </c>
      <c r="D158" s="11" t="s">
        <v>1177</v>
      </c>
      <c r="E158" s="5" t="s">
        <v>2213</v>
      </c>
      <c r="F158" s="5">
        <v>22</v>
      </c>
      <c r="G158" s="5" t="str" cm="1">
        <f t="array" ref="G158">_xlfn.IFS(F158&lt;12,"Child",F158&lt;18,"Teen",F158&lt;25,"Young",F158&lt;40,"Adult",F158&lt;60,"Middle Age",F158&gt;=60,"Old")</f>
        <v>Young</v>
      </c>
      <c r="H158" s="5" t="s">
        <v>2043</v>
      </c>
      <c r="I158" s="5" t="s">
        <v>2050</v>
      </c>
      <c r="J158" s="5" t="s">
        <v>2021</v>
      </c>
      <c r="K158" s="5" t="str">
        <f>VLOOKUP(J158,Sheet2!$A$1:$B$11,2,FALSE)</f>
        <v>Casual Wear</v>
      </c>
      <c r="L158" s="5">
        <v>4</v>
      </c>
      <c r="M158" s="6">
        <v>468</v>
      </c>
      <c r="N158" s="6">
        <v>1872</v>
      </c>
      <c r="O158" s="7">
        <v>0.1</v>
      </c>
      <c r="P158" s="8">
        <f t="shared" si="4"/>
        <v>187.20000000000002</v>
      </c>
      <c r="Q158" s="9">
        <f t="shared" si="5"/>
        <v>1684.8</v>
      </c>
      <c r="R158" s="5">
        <v>33</v>
      </c>
      <c r="S158" s="5" t="s">
        <v>2032</v>
      </c>
      <c r="T158" s="5" t="s">
        <v>2035</v>
      </c>
    </row>
    <row r="159" spans="1:20" x14ac:dyDescent="0.25">
      <c r="A159" s="5" t="s">
        <v>172</v>
      </c>
      <c r="B159" s="10">
        <v>45423</v>
      </c>
      <c r="C159" s="5" t="s">
        <v>1020</v>
      </c>
      <c r="D159" s="11" t="s">
        <v>1178</v>
      </c>
      <c r="E159" s="5" t="s">
        <v>2214</v>
      </c>
      <c r="F159" s="5">
        <v>38</v>
      </c>
      <c r="G159" s="5" t="str" cm="1">
        <f t="array" ref="G159">_xlfn.IFS(F159&lt;12,"Child",F159&lt;18,"Teen",F159&lt;25,"Young",F159&lt;40,"Adult",F159&lt;60,"Middle Age",F159&gt;=60,"Old")</f>
        <v>Adult</v>
      </c>
      <c r="H159" s="5" t="s">
        <v>2044</v>
      </c>
      <c r="I159" s="5" t="s">
        <v>2050</v>
      </c>
      <c r="J159" s="5" t="s">
        <v>2016</v>
      </c>
      <c r="K159" s="5" t="str">
        <f>VLOOKUP(J159,Sheet2!$A$1:$B$11,2,FALSE)</f>
        <v>Winter Wear</v>
      </c>
      <c r="L159" s="5">
        <v>1</v>
      </c>
      <c r="M159" s="6">
        <v>761</v>
      </c>
      <c r="N159" s="6">
        <v>761</v>
      </c>
      <c r="O159" s="7">
        <v>0.05</v>
      </c>
      <c r="P159" s="8">
        <f t="shared" si="4"/>
        <v>38.050000000000004</v>
      </c>
      <c r="Q159" s="9">
        <f t="shared" si="5"/>
        <v>722.95</v>
      </c>
      <c r="R159" s="5">
        <v>14</v>
      </c>
      <c r="S159" s="5" t="s">
        <v>2033</v>
      </c>
      <c r="T159" s="5" t="s">
        <v>2037</v>
      </c>
    </row>
    <row r="160" spans="1:20" x14ac:dyDescent="0.25">
      <c r="A160" s="5" t="s">
        <v>173</v>
      </c>
      <c r="B160" s="10">
        <v>45518</v>
      </c>
      <c r="C160" s="5" t="s">
        <v>1017</v>
      </c>
      <c r="D160" s="11" t="s">
        <v>1179</v>
      </c>
      <c r="E160" s="5" t="s">
        <v>2215</v>
      </c>
      <c r="F160" s="5">
        <v>47</v>
      </c>
      <c r="G160" s="5" t="str" cm="1">
        <f t="array" ref="G160">_xlfn.IFS(F160&lt;12,"Child",F160&lt;18,"Teen",F160&lt;25,"Young",F160&lt;40,"Adult",F160&lt;60,"Middle Age",F160&gt;=60,"Old")</f>
        <v>Middle Age</v>
      </c>
      <c r="H160" s="5" t="s">
        <v>2043</v>
      </c>
      <c r="I160" s="5" t="s">
        <v>2050</v>
      </c>
      <c r="J160" s="5" t="s">
        <v>2024</v>
      </c>
      <c r="K160" s="5" t="str">
        <f>VLOOKUP(J160,Sheet2!$A$1:$B$11,2,FALSE)</f>
        <v>Fashion Accessories</v>
      </c>
      <c r="L160" s="5">
        <v>5</v>
      </c>
      <c r="M160" s="6">
        <v>909</v>
      </c>
      <c r="N160" s="6">
        <v>4545</v>
      </c>
      <c r="O160" s="7">
        <v>0.05</v>
      </c>
      <c r="P160" s="8">
        <f t="shared" si="4"/>
        <v>227.25</v>
      </c>
      <c r="Q160" s="9">
        <f t="shared" si="5"/>
        <v>4317.75</v>
      </c>
      <c r="R160" s="5">
        <v>86</v>
      </c>
      <c r="S160" s="5" t="s">
        <v>2033</v>
      </c>
      <c r="T160" s="5" t="s">
        <v>2035</v>
      </c>
    </row>
    <row r="161" spans="1:20" x14ac:dyDescent="0.25">
      <c r="A161" s="5" t="s">
        <v>174</v>
      </c>
      <c r="B161" s="10">
        <v>45501</v>
      </c>
      <c r="C161" s="5" t="s">
        <v>1015</v>
      </c>
      <c r="D161" s="11" t="s">
        <v>1180</v>
      </c>
      <c r="E161" s="5" t="s">
        <v>2216</v>
      </c>
      <c r="F161" s="5">
        <v>20</v>
      </c>
      <c r="G161" s="5" t="str" cm="1">
        <f t="array" ref="G161">_xlfn.IFS(F161&lt;12,"Child",F161&lt;18,"Teen",F161&lt;25,"Young",F161&lt;40,"Adult",F161&lt;60,"Middle Age",F161&gt;=60,"Old")</f>
        <v>Young</v>
      </c>
      <c r="H161" s="5" t="s">
        <v>2043</v>
      </c>
      <c r="I161" s="5" t="s">
        <v>2048</v>
      </c>
      <c r="J161" s="5" t="s">
        <v>2018</v>
      </c>
      <c r="K161" s="5" t="str">
        <f>VLOOKUP(J161,Sheet2!$A$1:$B$11,2,FALSE)</f>
        <v>Sportswear</v>
      </c>
      <c r="L161" s="5">
        <v>3</v>
      </c>
      <c r="M161" s="6">
        <v>474</v>
      </c>
      <c r="N161" s="6">
        <v>1422</v>
      </c>
      <c r="O161" s="7">
        <v>0.05</v>
      </c>
      <c r="P161" s="8">
        <f t="shared" si="4"/>
        <v>71.100000000000009</v>
      </c>
      <c r="Q161" s="9">
        <f t="shared" si="5"/>
        <v>1350.9</v>
      </c>
      <c r="R161" s="5">
        <v>27</v>
      </c>
      <c r="S161" s="5" t="s">
        <v>2034</v>
      </c>
      <c r="T161" s="5" t="s">
        <v>2035</v>
      </c>
    </row>
    <row r="162" spans="1:20" x14ac:dyDescent="0.25">
      <c r="A162" s="5" t="s">
        <v>175</v>
      </c>
      <c r="B162" s="10">
        <v>45376</v>
      </c>
      <c r="C162" s="5" t="s">
        <v>1016</v>
      </c>
      <c r="D162" s="11" t="s">
        <v>1181</v>
      </c>
      <c r="E162" s="5" t="s">
        <v>2217</v>
      </c>
      <c r="F162" s="5">
        <v>55</v>
      </c>
      <c r="G162" s="5" t="str" cm="1">
        <f t="array" ref="G162">_xlfn.IFS(F162&lt;12,"Child",F162&lt;18,"Teen",F162&lt;25,"Young",F162&lt;40,"Adult",F162&lt;60,"Middle Age",F162&gt;=60,"Old")</f>
        <v>Middle Age</v>
      </c>
      <c r="H162" s="5" t="s">
        <v>2044</v>
      </c>
      <c r="I162" s="5" t="s">
        <v>2050</v>
      </c>
      <c r="J162" s="5" t="s">
        <v>2018</v>
      </c>
      <c r="K162" s="5" t="str">
        <f>VLOOKUP(J162,Sheet2!$A$1:$B$11,2,FALSE)</f>
        <v>Sportswear</v>
      </c>
      <c r="L162" s="5">
        <v>3</v>
      </c>
      <c r="M162" s="6">
        <v>555</v>
      </c>
      <c r="N162" s="6">
        <v>1665</v>
      </c>
      <c r="O162" s="7">
        <v>0.05</v>
      </c>
      <c r="P162" s="8">
        <f t="shared" si="4"/>
        <v>83.25</v>
      </c>
      <c r="Q162" s="9">
        <f t="shared" si="5"/>
        <v>1581.75</v>
      </c>
      <c r="R162" s="5">
        <v>31</v>
      </c>
      <c r="S162" s="5" t="s">
        <v>2033</v>
      </c>
      <c r="T162" s="5" t="s">
        <v>2037</v>
      </c>
    </row>
    <row r="163" spans="1:20" x14ac:dyDescent="0.25">
      <c r="A163" s="5" t="s">
        <v>176</v>
      </c>
      <c r="B163" s="10">
        <v>45600</v>
      </c>
      <c r="C163" s="5" t="s">
        <v>1016</v>
      </c>
      <c r="D163" s="11" t="s">
        <v>1182</v>
      </c>
      <c r="E163" s="5" t="s">
        <v>2218</v>
      </c>
      <c r="F163" s="5">
        <v>24</v>
      </c>
      <c r="G163" s="5" t="str" cm="1">
        <f t="array" ref="G163">_xlfn.IFS(F163&lt;12,"Child",F163&lt;18,"Teen",F163&lt;25,"Young",F163&lt;40,"Adult",F163&lt;60,"Middle Age",F163&gt;=60,"Old")</f>
        <v>Young</v>
      </c>
      <c r="H163" s="5" t="s">
        <v>2044</v>
      </c>
      <c r="I163" s="5" t="s">
        <v>2049</v>
      </c>
      <c r="J163" s="5" t="s">
        <v>2016</v>
      </c>
      <c r="K163" s="5" t="str">
        <f>VLOOKUP(J163,Sheet2!$A$1:$B$11,2,FALSE)</f>
        <v>Winter Wear</v>
      </c>
      <c r="L163" s="5">
        <v>1</v>
      </c>
      <c r="M163" s="6">
        <v>722</v>
      </c>
      <c r="N163" s="6">
        <v>722</v>
      </c>
      <c r="O163" s="7">
        <v>0</v>
      </c>
      <c r="P163" s="8">
        <f t="shared" si="4"/>
        <v>0</v>
      </c>
      <c r="Q163" s="9">
        <f t="shared" si="5"/>
        <v>722</v>
      </c>
      <c r="R163" s="5">
        <v>14</v>
      </c>
      <c r="S163" s="5" t="s">
        <v>2032</v>
      </c>
      <c r="T163" s="5" t="s">
        <v>2035</v>
      </c>
    </row>
    <row r="164" spans="1:20" x14ac:dyDescent="0.25">
      <c r="A164" s="5" t="s">
        <v>177</v>
      </c>
      <c r="B164" s="10">
        <v>45520</v>
      </c>
      <c r="C164" s="5" t="s">
        <v>1014</v>
      </c>
      <c r="D164" s="11" t="s">
        <v>1183</v>
      </c>
      <c r="E164" s="5" t="s">
        <v>2219</v>
      </c>
      <c r="F164" s="5">
        <v>46</v>
      </c>
      <c r="G164" s="5" t="str" cm="1">
        <f t="array" ref="G164">_xlfn.IFS(F164&lt;12,"Child",F164&lt;18,"Teen",F164&lt;25,"Young",F164&lt;40,"Adult",F164&lt;60,"Middle Age",F164&gt;=60,"Old")</f>
        <v>Middle Age</v>
      </c>
      <c r="H164" s="5" t="s">
        <v>2044</v>
      </c>
      <c r="I164" s="5" t="s">
        <v>2053</v>
      </c>
      <c r="J164" s="5" t="s">
        <v>2016</v>
      </c>
      <c r="K164" s="5" t="str">
        <f>VLOOKUP(J164,Sheet2!$A$1:$B$11,2,FALSE)</f>
        <v>Winter Wear</v>
      </c>
      <c r="L164" s="5">
        <v>3</v>
      </c>
      <c r="M164" s="6">
        <v>822</v>
      </c>
      <c r="N164" s="6">
        <v>2466</v>
      </c>
      <c r="O164" s="7">
        <v>0.2</v>
      </c>
      <c r="P164" s="8">
        <f t="shared" si="4"/>
        <v>493.20000000000005</v>
      </c>
      <c r="Q164" s="9">
        <f t="shared" si="5"/>
        <v>1972.8</v>
      </c>
      <c r="R164" s="5">
        <v>39</v>
      </c>
      <c r="S164" s="5" t="s">
        <v>2034</v>
      </c>
      <c r="T164" s="5" t="s">
        <v>2035</v>
      </c>
    </row>
    <row r="165" spans="1:20" x14ac:dyDescent="0.25">
      <c r="A165" s="5" t="s">
        <v>178</v>
      </c>
      <c r="B165" s="10">
        <v>45621</v>
      </c>
      <c r="C165" s="5" t="s">
        <v>1016</v>
      </c>
      <c r="D165" s="11" t="s">
        <v>1184</v>
      </c>
      <c r="E165" s="5" t="s">
        <v>2220</v>
      </c>
      <c r="F165" s="5">
        <v>27</v>
      </c>
      <c r="G165" s="5" t="str" cm="1">
        <f t="array" ref="G165">_xlfn.IFS(F165&lt;12,"Child",F165&lt;18,"Teen",F165&lt;25,"Young",F165&lt;40,"Adult",F165&lt;60,"Middle Age",F165&gt;=60,"Old")</f>
        <v>Adult</v>
      </c>
      <c r="H165" s="5" t="s">
        <v>2044</v>
      </c>
      <c r="I165" s="5" t="s">
        <v>2053</v>
      </c>
      <c r="J165" s="5" t="s">
        <v>2019</v>
      </c>
      <c r="K165" s="5" t="str">
        <f>VLOOKUP(J165,Sheet2!$A$1:$B$11,2,FALSE)</f>
        <v>Formal Wear</v>
      </c>
      <c r="L165" s="5">
        <v>2</v>
      </c>
      <c r="M165" s="6">
        <v>841</v>
      </c>
      <c r="N165" s="6">
        <v>1682</v>
      </c>
      <c r="O165" s="7">
        <v>0.05</v>
      </c>
      <c r="P165" s="8">
        <f t="shared" si="4"/>
        <v>84.100000000000009</v>
      </c>
      <c r="Q165" s="9">
        <f t="shared" si="5"/>
        <v>1597.9</v>
      </c>
      <c r="R165" s="5">
        <v>31</v>
      </c>
      <c r="S165" s="5" t="s">
        <v>2033</v>
      </c>
      <c r="T165" s="5" t="s">
        <v>2035</v>
      </c>
    </row>
    <row r="166" spans="1:20" x14ac:dyDescent="0.25">
      <c r="A166" s="5" t="s">
        <v>179</v>
      </c>
      <c r="B166" s="10">
        <v>45378</v>
      </c>
      <c r="C166" s="5" t="s">
        <v>1017</v>
      </c>
      <c r="D166" s="11" t="s">
        <v>1185</v>
      </c>
      <c r="E166" s="5" t="s">
        <v>2221</v>
      </c>
      <c r="F166" s="5">
        <v>21</v>
      </c>
      <c r="G166" s="5" t="str" cm="1">
        <f t="array" ref="G166">_xlfn.IFS(F166&lt;12,"Child",F166&lt;18,"Teen",F166&lt;25,"Young",F166&lt;40,"Adult",F166&lt;60,"Middle Age",F166&gt;=60,"Old")</f>
        <v>Young</v>
      </c>
      <c r="H166" s="5" t="s">
        <v>2044</v>
      </c>
      <c r="I166" s="5" t="s">
        <v>2053</v>
      </c>
      <c r="J166" s="5" t="s">
        <v>2022</v>
      </c>
      <c r="K166" s="5" t="str">
        <f>VLOOKUP(J166,Sheet2!$A$1:$B$11,2,FALSE)</f>
        <v>Sportswear</v>
      </c>
      <c r="L166" s="5">
        <v>2</v>
      </c>
      <c r="M166" s="6">
        <v>508</v>
      </c>
      <c r="N166" s="6">
        <v>1016</v>
      </c>
      <c r="O166" s="7">
        <v>0.15</v>
      </c>
      <c r="P166" s="8">
        <f t="shared" si="4"/>
        <v>152.4</v>
      </c>
      <c r="Q166" s="9">
        <f t="shared" si="5"/>
        <v>863.6</v>
      </c>
      <c r="R166" s="5">
        <v>17</v>
      </c>
      <c r="S166" s="5" t="s">
        <v>2034</v>
      </c>
      <c r="T166" s="5" t="s">
        <v>2035</v>
      </c>
    </row>
    <row r="167" spans="1:20" x14ac:dyDescent="0.25">
      <c r="A167" s="5" t="s">
        <v>180</v>
      </c>
      <c r="B167" s="10">
        <v>45663</v>
      </c>
      <c r="C167" s="5" t="s">
        <v>1016</v>
      </c>
      <c r="D167" s="11" t="s">
        <v>1186</v>
      </c>
      <c r="E167" s="5" t="s">
        <v>2222</v>
      </c>
      <c r="F167" s="5">
        <v>24</v>
      </c>
      <c r="G167" s="5" t="str" cm="1">
        <f t="array" ref="G167">_xlfn.IFS(F167&lt;12,"Child",F167&lt;18,"Teen",F167&lt;25,"Young",F167&lt;40,"Adult",F167&lt;60,"Middle Age",F167&gt;=60,"Old")</f>
        <v>Young</v>
      </c>
      <c r="H167" s="5" t="s">
        <v>2044</v>
      </c>
      <c r="I167" s="5" t="s">
        <v>2046</v>
      </c>
      <c r="J167" s="5" t="s">
        <v>2017</v>
      </c>
      <c r="K167" s="5" t="str">
        <f>VLOOKUP(J167,Sheet2!$A$1:$B$11,2,FALSE)</f>
        <v>Casual Wear</v>
      </c>
      <c r="L167" s="5">
        <v>1</v>
      </c>
      <c r="M167" s="6">
        <v>655</v>
      </c>
      <c r="N167" s="6">
        <v>655</v>
      </c>
      <c r="O167" s="7">
        <v>0.15</v>
      </c>
      <c r="P167" s="8">
        <f t="shared" si="4"/>
        <v>98.25</v>
      </c>
      <c r="Q167" s="9">
        <f t="shared" si="5"/>
        <v>556.75</v>
      </c>
      <c r="R167" s="5">
        <v>11</v>
      </c>
      <c r="S167" s="5" t="s">
        <v>2033</v>
      </c>
      <c r="T167" s="5" t="s">
        <v>2035</v>
      </c>
    </row>
    <row r="168" spans="1:20" x14ac:dyDescent="0.25">
      <c r="A168" s="5" t="s">
        <v>181</v>
      </c>
      <c r="B168" s="10">
        <v>45629</v>
      </c>
      <c r="C168" s="5" t="s">
        <v>1019</v>
      </c>
      <c r="D168" s="11" t="s">
        <v>1187</v>
      </c>
      <c r="E168" s="5" t="s">
        <v>2223</v>
      </c>
      <c r="F168" s="5">
        <v>25</v>
      </c>
      <c r="G168" s="5" t="str" cm="1">
        <f t="array" ref="G168">_xlfn.IFS(F168&lt;12,"Child",F168&lt;18,"Teen",F168&lt;25,"Young",F168&lt;40,"Adult",F168&lt;60,"Middle Age",F168&gt;=60,"Old")</f>
        <v>Adult</v>
      </c>
      <c r="H168" s="5" t="s">
        <v>2043</v>
      </c>
      <c r="I168" s="5" t="s">
        <v>2052</v>
      </c>
      <c r="J168" s="5" t="s">
        <v>2020</v>
      </c>
      <c r="K168" s="5" t="str">
        <f>VLOOKUP(J168,Sheet2!$A$1:$B$11,2,FALSE)</f>
        <v>Summer Wear</v>
      </c>
      <c r="L168" s="5">
        <v>4</v>
      </c>
      <c r="M168" s="6">
        <v>720</v>
      </c>
      <c r="N168" s="6">
        <v>2880</v>
      </c>
      <c r="O168" s="7">
        <v>0.2</v>
      </c>
      <c r="P168" s="8">
        <f t="shared" si="4"/>
        <v>576</v>
      </c>
      <c r="Q168" s="9">
        <f t="shared" si="5"/>
        <v>2304</v>
      </c>
      <c r="R168" s="5">
        <v>46</v>
      </c>
      <c r="S168" s="5" t="s">
        <v>2032</v>
      </c>
      <c r="T168" s="5" t="s">
        <v>2036</v>
      </c>
    </row>
    <row r="169" spans="1:20" x14ac:dyDescent="0.25">
      <c r="A169" s="5" t="s">
        <v>182</v>
      </c>
      <c r="B169" s="10">
        <v>45596</v>
      </c>
      <c r="C169" s="5" t="s">
        <v>1018</v>
      </c>
      <c r="D169" s="11" t="s">
        <v>1188</v>
      </c>
      <c r="E169" s="5" t="s">
        <v>2224</v>
      </c>
      <c r="F169" s="5">
        <v>48</v>
      </c>
      <c r="G169" s="5" t="str" cm="1">
        <f t="array" ref="G169">_xlfn.IFS(F169&lt;12,"Child",F169&lt;18,"Teen",F169&lt;25,"Young",F169&lt;40,"Adult",F169&lt;60,"Middle Age",F169&gt;=60,"Old")</f>
        <v>Middle Age</v>
      </c>
      <c r="H169" s="5" t="s">
        <v>2043</v>
      </c>
      <c r="I169" s="5" t="s">
        <v>2049</v>
      </c>
      <c r="J169" s="5" t="s">
        <v>2017</v>
      </c>
      <c r="K169" s="5" t="str">
        <f>VLOOKUP(J169,Sheet2!$A$1:$B$11,2,FALSE)</f>
        <v>Casual Wear</v>
      </c>
      <c r="L169" s="5">
        <v>2</v>
      </c>
      <c r="M169" s="6">
        <v>627</v>
      </c>
      <c r="N169" s="6">
        <v>1254</v>
      </c>
      <c r="O169" s="7">
        <v>0.05</v>
      </c>
      <c r="P169" s="8">
        <f t="shared" si="4"/>
        <v>62.7</v>
      </c>
      <c r="Q169" s="9">
        <f t="shared" si="5"/>
        <v>1191.3</v>
      </c>
      <c r="R169" s="5">
        <v>23</v>
      </c>
      <c r="S169" s="5" t="s">
        <v>2032</v>
      </c>
      <c r="T169" s="5" t="s">
        <v>2035</v>
      </c>
    </row>
    <row r="170" spans="1:20" x14ac:dyDescent="0.25">
      <c r="A170" s="5" t="s">
        <v>183</v>
      </c>
      <c r="B170" s="10">
        <v>45401</v>
      </c>
      <c r="C170" s="5" t="s">
        <v>1014</v>
      </c>
      <c r="D170" s="11" t="s">
        <v>1189</v>
      </c>
      <c r="E170" s="5" t="s">
        <v>2225</v>
      </c>
      <c r="F170" s="5">
        <v>50</v>
      </c>
      <c r="G170" s="5" t="str" cm="1">
        <f t="array" ref="G170">_xlfn.IFS(F170&lt;12,"Child",F170&lt;18,"Teen",F170&lt;25,"Young",F170&lt;40,"Adult",F170&lt;60,"Middle Age",F170&gt;=60,"Old")</f>
        <v>Middle Age</v>
      </c>
      <c r="H170" s="5" t="s">
        <v>2044</v>
      </c>
      <c r="I170" s="5" t="s">
        <v>2053</v>
      </c>
      <c r="J170" s="5" t="s">
        <v>2020</v>
      </c>
      <c r="K170" s="5" t="str">
        <f>VLOOKUP(J170,Sheet2!$A$1:$B$11,2,FALSE)</f>
        <v>Summer Wear</v>
      </c>
      <c r="L170" s="5">
        <v>4</v>
      </c>
      <c r="M170" s="6">
        <v>734</v>
      </c>
      <c r="N170" s="6">
        <v>2936</v>
      </c>
      <c r="O170" s="7">
        <v>0.1</v>
      </c>
      <c r="P170" s="8">
        <f t="shared" si="4"/>
        <v>293.60000000000002</v>
      </c>
      <c r="Q170" s="9">
        <f t="shared" si="5"/>
        <v>2642.4</v>
      </c>
      <c r="R170" s="5">
        <v>52</v>
      </c>
      <c r="S170" s="5" t="s">
        <v>2034</v>
      </c>
      <c r="T170" s="5" t="s">
        <v>2036</v>
      </c>
    </row>
    <row r="171" spans="1:20" x14ac:dyDescent="0.25">
      <c r="A171" s="5" t="s">
        <v>184</v>
      </c>
      <c r="B171" s="10">
        <v>45461</v>
      </c>
      <c r="C171" s="5" t="s">
        <v>1019</v>
      </c>
      <c r="D171" s="11" t="s">
        <v>1190</v>
      </c>
      <c r="E171" s="5" t="s">
        <v>2226</v>
      </c>
      <c r="F171" s="5">
        <v>28</v>
      </c>
      <c r="G171" s="5" t="str" cm="1">
        <f t="array" ref="G171">_xlfn.IFS(F171&lt;12,"Child",F171&lt;18,"Teen",F171&lt;25,"Young",F171&lt;40,"Adult",F171&lt;60,"Middle Age",F171&gt;=60,"Old")</f>
        <v>Adult</v>
      </c>
      <c r="H171" s="5" t="s">
        <v>2043</v>
      </c>
      <c r="I171" s="5" t="s">
        <v>2051</v>
      </c>
      <c r="J171" s="5" t="s">
        <v>2016</v>
      </c>
      <c r="K171" s="5" t="str">
        <f>VLOOKUP(J171,Sheet2!$A$1:$B$11,2,FALSE)</f>
        <v>Winter Wear</v>
      </c>
      <c r="L171" s="5">
        <v>4</v>
      </c>
      <c r="M171" s="6">
        <v>1032</v>
      </c>
      <c r="N171" s="6">
        <v>4128</v>
      </c>
      <c r="O171" s="7">
        <v>0.2</v>
      </c>
      <c r="P171" s="8">
        <f t="shared" si="4"/>
        <v>825.6</v>
      </c>
      <c r="Q171" s="9">
        <f t="shared" si="5"/>
        <v>3302.4</v>
      </c>
      <c r="R171" s="5">
        <v>66</v>
      </c>
      <c r="S171" s="5" t="s">
        <v>2033</v>
      </c>
      <c r="T171" s="5" t="s">
        <v>2035</v>
      </c>
    </row>
    <row r="172" spans="1:20" x14ac:dyDescent="0.25">
      <c r="A172" s="5" t="s">
        <v>185</v>
      </c>
      <c r="B172" s="10">
        <v>45671</v>
      </c>
      <c r="C172" s="5" t="s">
        <v>1019</v>
      </c>
      <c r="D172" s="11" t="s">
        <v>1191</v>
      </c>
      <c r="E172" s="5" t="s">
        <v>2227</v>
      </c>
      <c r="F172" s="5">
        <v>39</v>
      </c>
      <c r="G172" s="5" t="str" cm="1">
        <f t="array" ref="G172">_xlfn.IFS(F172&lt;12,"Child",F172&lt;18,"Teen",F172&lt;25,"Young",F172&lt;40,"Adult",F172&lt;60,"Middle Age",F172&gt;=60,"Old")</f>
        <v>Adult</v>
      </c>
      <c r="H172" s="5" t="s">
        <v>2044</v>
      </c>
      <c r="I172" s="5" t="s">
        <v>2047</v>
      </c>
      <c r="J172" s="5" t="s">
        <v>2022</v>
      </c>
      <c r="K172" s="5" t="str">
        <f>VLOOKUP(J172,Sheet2!$A$1:$B$11,2,FALSE)</f>
        <v>Sportswear</v>
      </c>
      <c r="L172" s="5">
        <v>2</v>
      </c>
      <c r="M172" s="6">
        <v>830</v>
      </c>
      <c r="N172" s="6">
        <v>1660</v>
      </c>
      <c r="O172" s="7">
        <v>0.05</v>
      </c>
      <c r="P172" s="8">
        <f t="shared" si="4"/>
        <v>83</v>
      </c>
      <c r="Q172" s="9">
        <f t="shared" si="5"/>
        <v>1577</v>
      </c>
      <c r="R172" s="5">
        <v>31</v>
      </c>
      <c r="S172" s="5" t="s">
        <v>2034</v>
      </c>
      <c r="T172" s="5" t="s">
        <v>2037</v>
      </c>
    </row>
    <row r="173" spans="1:20" x14ac:dyDescent="0.25">
      <c r="A173" s="5" t="s">
        <v>186</v>
      </c>
      <c r="B173" s="10">
        <v>45358</v>
      </c>
      <c r="C173" s="5" t="s">
        <v>1018</v>
      </c>
      <c r="D173" s="11" t="s">
        <v>1192</v>
      </c>
      <c r="E173" s="5" t="s">
        <v>2228</v>
      </c>
      <c r="F173" s="5">
        <v>40</v>
      </c>
      <c r="G173" s="5" t="str" cm="1">
        <f t="array" ref="G173">_xlfn.IFS(F173&lt;12,"Child",F173&lt;18,"Teen",F173&lt;25,"Young",F173&lt;40,"Adult",F173&lt;60,"Middle Age",F173&gt;=60,"Old")</f>
        <v>Middle Age</v>
      </c>
      <c r="H173" s="5" t="s">
        <v>2044</v>
      </c>
      <c r="I173" s="5" t="s">
        <v>2048</v>
      </c>
      <c r="J173" s="5" t="s">
        <v>2020</v>
      </c>
      <c r="K173" s="5" t="str">
        <f>VLOOKUP(J173,Sheet2!$A$1:$B$11,2,FALSE)</f>
        <v>Summer Wear</v>
      </c>
      <c r="L173" s="5">
        <v>3</v>
      </c>
      <c r="M173" s="6">
        <v>703</v>
      </c>
      <c r="N173" s="6">
        <v>2109</v>
      </c>
      <c r="O173" s="7">
        <v>0.15</v>
      </c>
      <c r="P173" s="8">
        <f t="shared" si="4"/>
        <v>316.34999999999997</v>
      </c>
      <c r="Q173" s="9">
        <f t="shared" si="5"/>
        <v>1792.65</v>
      </c>
      <c r="R173" s="5">
        <v>35</v>
      </c>
      <c r="S173" s="5" t="s">
        <v>2033</v>
      </c>
      <c r="T173" s="5" t="s">
        <v>2037</v>
      </c>
    </row>
    <row r="174" spans="1:20" x14ac:dyDescent="0.25">
      <c r="A174" s="5" t="s">
        <v>187</v>
      </c>
      <c r="B174" s="10">
        <v>45406</v>
      </c>
      <c r="C174" s="5" t="s">
        <v>1017</v>
      </c>
      <c r="D174" s="11" t="s">
        <v>1193</v>
      </c>
      <c r="E174" s="5" t="s">
        <v>2229</v>
      </c>
      <c r="F174" s="5">
        <v>40</v>
      </c>
      <c r="G174" s="5" t="str" cm="1">
        <f t="array" ref="G174">_xlfn.IFS(F174&lt;12,"Child",F174&lt;18,"Teen",F174&lt;25,"Young",F174&lt;40,"Adult",F174&lt;60,"Middle Age",F174&gt;=60,"Old")</f>
        <v>Middle Age</v>
      </c>
      <c r="H174" s="5" t="s">
        <v>2044</v>
      </c>
      <c r="I174" s="5" t="s">
        <v>2047</v>
      </c>
      <c r="J174" s="5" t="s">
        <v>2018</v>
      </c>
      <c r="K174" s="5" t="str">
        <f>VLOOKUP(J174,Sheet2!$A$1:$B$11,2,FALSE)</f>
        <v>Sportswear</v>
      </c>
      <c r="L174" s="5">
        <v>1</v>
      </c>
      <c r="M174" s="6">
        <v>726</v>
      </c>
      <c r="N174" s="6">
        <v>726</v>
      </c>
      <c r="O174" s="7">
        <v>0.2</v>
      </c>
      <c r="P174" s="8">
        <f t="shared" si="4"/>
        <v>145.20000000000002</v>
      </c>
      <c r="Q174" s="9">
        <f t="shared" si="5"/>
        <v>580.79999999999995</v>
      </c>
      <c r="R174" s="5">
        <v>11</v>
      </c>
      <c r="S174" s="5" t="s">
        <v>2033</v>
      </c>
      <c r="T174" s="5" t="s">
        <v>2036</v>
      </c>
    </row>
    <row r="175" spans="1:20" x14ac:dyDescent="0.25">
      <c r="A175" s="5" t="s">
        <v>188</v>
      </c>
      <c r="B175" s="10">
        <v>45448</v>
      </c>
      <c r="C175" s="5" t="s">
        <v>1017</v>
      </c>
      <c r="D175" s="11" t="s">
        <v>1194</v>
      </c>
      <c r="E175" s="5" t="s">
        <v>2230</v>
      </c>
      <c r="F175" s="5">
        <v>44</v>
      </c>
      <c r="G175" s="5" t="str" cm="1">
        <f t="array" ref="G175">_xlfn.IFS(F175&lt;12,"Child",F175&lt;18,"Teen",F175&lt;25,"Young",F175&lt;40,"Adult",F175&lt;60,"Middle Age",F175&gt;=60,"Old")</f>
        <v>Middle Age</v>
      </c>
      <c r="H175" s="5" t="s">
        <v>2044</v>
      </c>
      <c r="I175" s="5" t="s">
        <v>2046</v>
      </c>
      <c r="J175" s="5" t="s">
        <v>2018</v>
      </c>
      <c r="K175" s="5" t="str">
        <f>VLOOKUP(J175,Sheet2!$A$1:$B$11,2,FALSE)</f>
        <v>Sportswear</v>
      </c>
      <c r="L175" s="5">
        <v>2</v>
      </c>
      <c r="M175" s="6">
        <v>421</v>
      </c>
      <c r="N175" s="6">
        <v>842</v>
      </c>
      <c r="O175" s="7">
        <v>0.15</v>
      </c>
      <c r="P175" s="8">
        <f t="shared" si="4"/>
        <v>126.3</v>
      </c>
      <c r="Q175" s="9">
        <f t="shared" si="5"/>
        <v>715.7</v>
      </c>
      <c r="R175" s="5">
        <v>14</v>
      </c>
      <c r="S175" s="5" t="s">
        <v>2033</v>
      </c>
      <c r="T175" s="5" t="s">
        <v>2036</v>
      </c>
    </row>
    <row r="176" spans="1:20" x14ac:dyDescent="0.25">
      <c r="A176" s="5" t="s">
        <v>189</v>
      </c>
      <c r="B176" s="10">
        <v>45615</v>
      </c>
      <c r="C176" s="5" t="s">
        <v>1019</v>
      </c>
      <c r="D176" s="11" t="s">
        <v>1195</v>
      </c>
      <c r="E176" s="5" t="s">
        <v>2231</v>
      </c>
      <c r="F176" s="5">
        <v>59</v>
      </c>
      <c r="G176" s="5" t="str" cm="1">
        <f t="array" ref="G176">_xlfn.IFS(F176&lt;12,"Child",F176&lt;18,"Teen",F176&lt;25,"Young",F176&lt;40,"Adult",F176&lt;60,"Middle Age",F176&gt;=60,"Old")</f>
        <v>Middle Age</v>
      </c>
      <c r="H176" s="5" t="s">
        <v>2044</v>
      </c>
      <c r="I176" s="5" t="s">
        <v>2015</v>
      </c>
      <c r="J176" s="5" t="s">
        <v>2023</v>
      </c>
      <c r="K176" s="5" t="str">
        <f>VLOOKUP(J176,Sheet2!$A$1:$B$11,2,FALSE)</f>
        <v>Formal Wear</v>
      </c>
      <c r="L176" s="5">
        <v>3</v>
      </c>
      <c r="M176" s="6">
        <v>676</v>
      </c>
      <c r="N176" s="6">
        <v>2028</v>
      </c>
      <c r="O176" s="7">
        <v>0</v>
      </c>
      <c r="P176" s="8">
        <f t="shared" si="4"/>
        <v>0</v>
      </c>
      <c r="Q176" s="9">
        <f t="shared" si="5"/>
        <v>2028</v>
      </c>
      <c r="R176" s="5">
        <v>40</v>
      </c>
      <c r="S176" s="5" t="s">
        <v>2034</v>
      </c>
      <c r="T176" s="5" t="s">
        <v>2036</v>
      </c>
    </row>
    <row r="177" spans="1:20" x14ac:dyDescent="0.25">
      <c r="A177" s="5" t="s">
        <v>190</v>
      </c>
      <c r="B177" s="10">
        <v>45558</v>
      </c>
      <c r="C177" s="5" t="s">
        <v>1016</v>
      </c>
      <c r="D177" s="11" t="s">
        <v>1196</v>
      </c>
      <c r="E177" s="5" t="s">
        <v>2232</v>
      </c>
      <c r="F177" s="5">
        <v>24</v>
      </c>
      <c r="G177" s="5" t="str" cm="1">
        <f t="array" ref="G177">_xlfn.IFS(F177&lt;12,"Child",F177&lt;18,"Teen",F177&lt;25,"Young",F177&lt;40,"Adult",F177&lt;60,"Middle Age",F177&gt;=60,"Old")</f>
        <v>Young</v>
      </c>
      <c r="H177" s="5" t="s">
        <v>2044</v>
      </c>
      <c r="I177" s="5" t="s">
        <v>2015</v>
      </c>
      <c r="J177" s="5" t="s">
        <v>2023</v>
      </c>
      <c r="K177" s="5" t="str">
        <f>VLOOKUP(J177,Sheet2!$A$1:$B$11,2,FALSE)</f>
        <v>Formal Wear</v>
      </c>
      <c r="L177" s="5">
        <v>4</v>
      </c>
      <c r="M177" s="6">
        <v>262</v>
      </c>
      <c r="N177" s="6">
        <v>1048</v>
      </c>
      <c r="O177" s="7">
        <v>0.2</v>
      </c>
      <c r="P177" s="8">
        <f t="shared" si="4"/>
        <v>209.60000000000002</v>
      </c>
      <c r="Q177" s="9">
        <f t="shared" si="5"/>
        <v>838.4</v>
      </c>
      <c r="R177" s="5">
        <v>16</v>
      </c>
      <c r="S177" s="5" t="s">
        <v>2034</v>
      </c>
      <c r="T177" s="5" t="s">
        <v>2035</v>
      </c>
    </row>
    <row r="178" spans="1:20" x14ac:dyDescent="0.25">
      <c r="A178" s="5" t="s">
        <v>191</v>
      </c>
      <c r="B178" s="10">
        <v>45713</v>
      </c>
      <c r="C178" s="5" t="s">
        <v>1019</v>
      </c>
      <c r="D178" s="11" t="s">
        <v>1197</v>
      </c>
      <c r="E178" s="5" t="s">
        <v>2233</v>
      </c>
      <c r="F178" s="5">
        <v>56</v>
      </c>
      <c r="G178" s="5" t="str" cm="1">
        <f t="array" ref="G178">_xlfn.IFS(F178&lt;12,"Child",F178&lt;18,"Teen",F178&lt;25,"Young",F178&lt;40,"Adult",F178&lt;60,"Middle Age",F178&gt;=60,"Old")</f>
        <v>Middle Age</v>
      </c>
      <c r="H178" s="5" t="s">
        <v>2043</v>
      </c>
      <c r="I178" s="5" t="s">
        <v>2048</v>
      </c>
      <c r="J178" s="5" t="s">
        <v>2016</v>
      </c>
      <c r="K178" s="5" t="str">
        <f>VLOOKUP(J178,Sheet2!$A$1:$B$11,2,FALSE)</f>
        <v>Winter Wear</v>
      </c>
      <c r="L178" s="5">
        <v>4</v>
      </c>
      <c r="M178" s="6">
        <v>161</v>
      </c>
      <c r="N178" s="6">
        <v>644</v>
      </c>
      <c r="O178" s="7">
        <v>0.05</v>
      </c>
      <c r="P178" s="8">
        <f t="shared" si="4"/>
        <v>32.200000000000003</v>
      </c>
      <c r="Q178" s="9">
        <f t="shared" si="5"/>
        <v>611.79999999999995</v>
      </c>
      <c r="R178" s="5">
        <v>12</v>
      </c>
      <c r="S178" s="5" t="s">
        <v>2033</v>
      </c>
      <c r="T178" s="5" t="s">
        <v>2036</v>
      </c>
    </row>
    <row r="179" spans="1:20" x14ac:dyDescent="0.25">
      <c r="A179" s="5" t="s">
        <v>192</v>
      </c>
      <c r="B179" s="10">
        <v>45392</v>
      </c>
      <c r="C179" s="5" t="s">
        <v>1017</v>
      </c>
      <c r="D179" s="11" t="s">
        <v>1198</v>
      </c>
      <c r="E179" s="5" t="s">
        <v>2234</v>
      </c>
      <c r="F179" s="5">
        <v>52</v>
      </c>
      <c r="G179" s="5" t="str" cm="1">
        <f t="array" ref="G179">_xlfn.IFS(F179&lt;12,"Child",F179&lt;18,"Teen",F179&lt;25,"Young",F179&lt;40,"Adult",F179&lt;60,"Middle Age",F179&gt;=60,"Old")</f>
        <v>Middle Age</v>
      </c>
      <c r="H179" s="5" t="s">
        <v>2043</v>
      </c>
      <c r="I179" s="5" t="s">
        <v>2052</v>
      </c>
      <c r="J179" s="5" t="s">
        <v>2024</v>
      </c>
      <c r="K179" s="5" t="str">
        <f>VLOOKUP(J179,Sheet2!$A$1:$B$11,2,FALSE)</f>
        <v>Fashion Accessories</v>
      </c>
      <c r="L179" s="5">
        <v>4</v>
      </c>
      <c r="M179" s="6">
        <v>784</v>
      </c>
      <c r="N179" s="6">
        <v>3136</v>
      </c>
      <c r="O179" s="7">
        <v>0.2</v>
      </c>
      <c r="P179" s="8">
        <f t="shared" si="4"/>
        <v>627.20000000000005</v>
      </c>
      <c r="Q179" s="9">
        <f t="shared" si="5"/>
        <v>2508.8000000000002</v>
      </c>
      <c r="R179" s="5">
        <v>50</v>
      </c>
      <c r="S179" s="5" t="s">
        <v>2032</v>
      </c>
      <c r="T179" s="5" t="s">
        <v>2035</v>
      </c>
    </row>
    <row r="180" spans="1:20" x14ac:dyDescent="0.25">
      <c r="A180" s="5" t="s">
        <v>193</v>
      </c>
      <c r="B180" s="10">
        <v>45694</v>
      </c>
      <c r="C180" s="5" t="s">
        <v>1018</v>
      </c>
      <c r="D180" s="11" t="s">
        <v>1199</v>
      </c>
      <c r="E180" s="5" t="s">
        <v>2235</v>
      </c>
      <c r="F180" s="5">
        <v>60</v>
      </c>
      <c r="G180" s="5" t="str" cm="1">
        <f t="array" ref="G180">_xlfn.IFS(F180&lt;12,"Child",F180&lt;18,"Teen",F180&lt;25,"Young",F180&lt;40,"Adult",F180&lt;60,"Middle Age",F180&gt;=60,"Old")</f>
        <v>Old</v>
      </c>
      <c r="H180" s="5" t="s">
        <v>2043</v>
      </c>
      <c r="I180" s="5" t="s">
        <v>2048</v>
      </c>
      <c r="J180" s="5" t="s">
        <v>2025</v>
      </c>
      <c r="K180" s="5" t="str">
        <f>VLOOKUP(J180,Sheet2!$A$1:$B$11,2,FALSE)</f>
        <v>Formal Wear</v>
      </c>
      <c r="L180" s="5">
        <v>4</v>
      </c>
      <c r="M180" s="6">
        <v>1134</v>
      </c>
      <c r="N180" s="6">
        <v>4536</v>
      </c>
      <c r="O180" s="7">
        <v>0.2</v>
      </c>
      <c r="P180" s="8">
        <f t="shared" si="4"/>
        <v>907.2</v>
      </c>
      <c r="Q180" s="9">
        <f t="shared" si="5"/>
        <v>3628.8</v>
      </c>
      <c r="R180" s="5">
        <v>72</v>
      </c>
      <c r="S180" s="5" t="s">
        <v>2034</v>
      </c>
      <c r="T180" s="5" t="s">
        <v>2035</v>
      </c>
    </row>
    <row r="181" spans="1:20" x14ac:dyDescent="0.25">
      <c r="A181" s="5" t="s">
        <v>194</v>
      </c>
      <c r="B181" s="10">
        <v>45459</v>
      </c>
      <c r="C181" s="5" t="s">
        <v>1015</v>
      </c>
      <c r="D181" s="11" t="s">
        <v>1200</v>
      </c>
      <c r="E181" s="5" t="s">
        <v>2236</v>
      </c>
      <c r="F181" s="5">
        <v>55</v>
      </c>
      <c r="G181" s="5" t="str" cm="1">
        <f t="array" ref="G181">_xlfn.IFS(F181&lt;12,"Child",F181&lt;18,"Teen",F181&lt;25,"Young",F181&lt;40,"Adult",F181&lt;60,"Middle Age",F181&gt;=60,"Old")</f>
        <v>Middle Age</v>
      </c>
      <c r="H181" s="5" t="s">
        <v>2043</v>
      </c>
      <c r="I181" s="5" t="s">
        <v>2051</v>
      </c>
      <c r="J181" s="5" t="s">
        <v>2018</v>
      </c>
      <c r="K181" s="5" t="str">
        <f>VLOOKUP(J181,Sheet2!$A$1:$B$11,2,FALSE)</f>
        <v>Sportswear</v>
      </c>
      <c r="L181" s="5">
        <v>5</v>
      </c>
      <c r="M181" s="6">
        <v>528</v>
      </c>
      <c r="N181" s="6">
        <v>2640</v>
      </c>
      <c r="O181" s="7">
        <v>0.15</v>
      </c>
      <c r="P181" s="8">
        <f t="shared" si="4"/>
        <v>396</v>
      </c>
      <c r="Q181" s="9">
        <f t="shared" si="5"/>
        <v>2244</v>
      </c>
      <c r="R181" s="5">
        <v>44</v>
      </c>
      <c r="S181" s="5" t="s">
        <v>2032</v>
      </c>
      <c r="T181" s="5" t="s">
        <v>2035</v>
      </c>
    </row>
    <row r="182" spans="1:20" x14ac:dyDescent="0.25">
      <c r="A182" s="5" t="s">
        <v>195</v>
      </c>
      <c r="B182" s="10">
        <v>45438</v>
      </c>
      <c r="C182" s="5" t="s">
        <v>1015</v>
      </c>
      <c r="D182" s="11" t="s">
        <v>1201</v>
      </c>
      <c r="E182" s="5" t="s">
        <v>2237</v>
      </c>
      <c r="F182" s="5">
        <v>56</v>
      </c>
      <c r="G182" s="5" t="str" cm="1">
        <f t="array" ref="G182">_xlfn.IFS(F182&lt;12,"Child",F182&lt;18,"Teen",F182&lt;25,"Young",F182&lt;40,"Adult",F182&lt;60,"Middle Age",F182&gt;=60,"Old")</f>
        <v>Middle Age</v>
      </c>
      <c r="H182" s="5" t="s">
        <v>2044</v>
      </c>
      <c r="I182" s="5" t="s">
        <v>2046</v>
      </c>
      <c r="J182" s="5" t="s">
        <v>2021</v>
      </c>
      <c r="K182" s="5" t="str">
        <f>VLOOKUP(J182,Sheet2!$A$1:$B$11,2,FALSE)</f>
        <v>Casual Wear</v>
      </c>
      <c r="L182" s="5">
        <v>4</v>
      </c>
      <c r="M182" s="6">
        <v>1042</v>
      </c>
      <c r="N182" s="6">
        <v>4168</v>
      </c>
      <c r="O182" s="7">
        <v>0</v>
      </c>
      <c r="P182" s="8">
        <f t="shared" si="4"/>
        <v>0</v>
      </c>
      <c r="Q182" s="9">
        <f t="shared" si="5"/>
        <v>4168</v>
      </c>
      <c r="R182" s="5">
        <v>83</v>
      </c>
      <c r="S182" s="5" t="s">
        <v>2033</v>
      </c>
      <c r="T182" s="5" t="s">
        <v>2035</v>
      </c>
    </row>
    <row r="183" spans="1:20" x14ac:dyDescent="0.25">
      <c r="A183" s="5" t="s">
        <v>196</v>
      </c>
      <c r="B183" s="10">
        <v>45517</v>
      </c>
      <c r="C183" s="5" t="s">
        <v>1019</v>
      </c>
      <c r="D183" s="11" t="s">
        <v>1202</v>
      </c>
      <c r="E183" s="5" t="s">
        <v>2238</v>
      </c>
      <c r="F183" s="5">
        <v>20</v>
      </c>
      <c r="G183" s="5" t="str" cm="1">
        <f t="array" ref="G183">_xlfn.IFS(F183&lt;12,"Child",F183&lt;18,"Teen",F183&lt;25,"Young",F183&lt;40,"Adult",F183&lt;60,"Middle Age",F183&gt;=60,"Old")</f>
        <v>Young</v>
      </c>
      <c r="H183" s="5" t="s">
        <v>2043</v>
      </c>
      <c r="I183" s="5" t="s">
        <v>2048</v>
      </c>
      <c r="J183" s="5" t="s">
        <v>2018</v>
      </c>
      <c r="K183" s="5" t="str">
        <f>VLOOKUP(J183,Sheet2!$A$1:$B$11,2,FALSE)</f>
        <v>Sportswear</v>
      </c>
      <c r="L183" s="5">
        <v>3</v>
      </c>
      <c r="M183" s="6">
        <v>1035</v>
      </c>
      <c r="N183" s="6">
        <v>3105</v>
      </c>
      <c r="O183" s="7">
        <v>0.15</v>
      </c>
      <c r="P183" s="8">
        <f t="shared" si="4"/>
        <v>465.75</v>
      </c>
      <c r="Q183" s="9">
        <f t="shared" si="5"/>
        <v>2639.25</v>
      </c>
      <c r="R183" s="5">
        <v>52</v>
      </c>
      <c r="S183" s="5" t="s">
        <v>2034</v>
      </c>
      <c r="T183" s="5" t="s">
        <v>2037</v>
      </c>
    </row>
    <row r="184" spans="1:20" x14ac:dyDescent="0.25">
      <c r="A184" s="5" t="s">
        <v>197</v>
      </c>
      <c r="B184" s="10">
        <v>45608</v>
      </c>
      <c r="C184" s="5" t="s">
        <v>1019</v>
      </c>
      <c r="D184" s="11" t="s">
        <v>1203</v>
      </c>
      <c r="E184" s="5" t="s">
        <v>2239</v>
      </c>
      <c r="F184" s="5">
        <v>28</v>
      </c>
      <c r="G184" s="5" t="str" cm="1">
        <f t="array" ref="G184">_xlfn.IFS(F184&lt;12,"Child",F184&lt;18,"Teen",F184&lt;25,"Young",F184&lt;40,"Adult",F184&lt;60,"Middle Age",F184&gt;=60,"Old")</f>
        <v>Adult</v>
      </c>
      <c r="H184" s="5" t="s">
        <v>2043</v>
      </c>
      <c r="I184" s="5" t="s">
        <v>2047</v>
      </c>
      <c r="J184" s="5" t="s">
        <v>2024</v>
      </c>
      <c r="K184" s="5" t="str">
        <f>VLOOKUP(J184,Sheet2!$A$1:$B$11,2,FALSE)</f>
        <v>Fashion Accessories</v>
      </c>
      <c r="L184" s="5">
        <v>2</v>
      </c>
      <c r="M184" s="6">
        <v>535</v>
      </c>
      <c r="N184" s="6">
        <v>1070</v>
      </c>
      <c r="O184" s="7">
        <v>0.15</v>
      </c>
      <c r="P184" s="8">
        <f t="shared" si="4"/>
        <v>160.5</v>
      </c>
      <c r="Q184" s="9">
        <f t="shared" si="5"/>
        <v>909.5</v>
      </c>
      <c r="R184" s="5">
        <v>18</v>
      </c>
      <c r="S184" s="5" t="s">
        <v>2033</v>
      </c>
      <c r="T184" s="5" t="s">
        <v>2035</v>
      </c>
    </row>
    <row r="185" spans="1:20" x14ac:dyDescent="0.25">
      <c r="A185" s="5" t="s">
        <v>198</v>
      </c>
      <c r="B185" s="10">
        <v>45474</v>
      </c>
      <c r="C185" s="5" t="s">
        <v>1016</v>
      </c>
      <c r="D185" s="11" t="s">
        <v>1204</v>
      </c>
      <c r="E185" s="5" t="s">
        <v>2240</v>
      </c>
      <c r="F185" s="5">
        <v>35</v>
      </c>
      <c r="G185" s="5" t="str" cm="1">
        <f t="array" ref="G185">_xlfn.IFS(F185&lt;12,"Child",F185&lt;18,"Teen",F185&lt;25,"Young",F185&lt;40,"Adult",F185&lt;60,"Middle Age",F185&gt;=60,"Old")</f>
        <v>Adult</v>
      </c>
      <c r="H185" s="5" t="s">
        <v>2043</v>
      </c>
      <c r="I185" s="5" t="s">
        <v>2049</v>
      </c>
      <c r="J185" s="5" t="s">
        <v>2021</v>
      </c>
      <c r="K185" s="5" t="str">
        <f>VLOOKUP(J185,Sheet2!$A$1:$B$11,2,FALSE)</f>
        <v>Casual Wear</v>
      </c>
      <c r="L185" s="5">
        <v>2</v>
      </c>
      <c r="M185" s="6">
        <v>1170</v>
      </c>
      <c r="N185" s="6">
        <v>2340</v>
      </c>
      <c r="O185" s="7">
        <v>0.2</v>
      </c>
      <c r="P185" s="8">
        <f t="shared" si="4"/>
        <v>468</v>
      </c>
      <c r="Q185" s="9">
        <f t="shared" si="5"/>
        <v>1872</v>
      </c>
      <c r="R185" s="5">
        <v>37</v>
      </c>
      <c r="S185" s="5" t="s">
        <v>2034</v>
      </c>
      <c r="T185" s="5" t="s">
        <v>2037</v>
      </c>
    </row>
    <row r="186" spans="1:20" x14ac:dyDescent="0.25">
      <c r="A186" s="5" t="s">
        <v>199</v>
      </c>
      <c r="B186" s="10">
        <v>45381</v>
      </c>
      <c r="C186" s="5" t="s">
        <v>1020</v>
      </c>
      <c r="D186" s="11" t="s">
        <v>1205</v>
      </c>
      <c r="E186" s="5" t="s">
        <v>2241</v>
      </c>
      <c r="F186" s="5">
        <v>18</v>
      </c>
      <c r="G186" s="5" t="str" cm="1">
        <f t="array" ref="G186">_xlfn.IFS(F186&lt;12,"Child",F186&lt;18,"Teen",F186&lt;25,"Young",F186&lt;40,"Adult",F186&lt;60,"Middle Age",F186&gt;=60,"Old")</f>
        <v>Young</v>
      </c>
      <c r="H186" s="5" t="s">
        <v>2044</v>
      </c>
      <c r="I186" s="5" t="s">
        <v>2046</v>
      </c>
      <c r="J186" s="5" t="s">
        <v>2016</v>
      </c>
      <c r="K186" s="5" t="str">
        <f>VLOOKUP(J186,Sheet2!$A$1:$B$11,2,FALSE)</f>
        <v>Winter Wear</v>
      </c>
      <c r="L186" s="5">
        <v>1</v>
      </c>
      <c r="M186" s="6">
        <v>896</v>
      </c>
      <c r="N186" s="6">
        <v>896</v>
      </c>
      <c r="O186" s="7">
        <v>0.1</v>
      </c>
      <c r="P186" s="8">
        <f t="shared" si="4"/>
        <v>89.600000000000009</v>
      </c>
      <c r="Q186" s="9">
        <f t="shared" si="5"/>
        <v>806.4</v>
      </c>
      <c r="R186" s="5">
        <v>16</v>
      </c>
      <c r="S186" s="5" t="s">
        <v>2032</v>
      </c>
      <c r="T186" s="5" t="s">
        <v>2035</v>
      </c>
    </row>
    <row r="187" spans="1:20" x14ac:dyDescent="0.25">
      <c r="A187" s="5" t="s">
        <v>200</v>
      </c>
      <c r="B187" s="10">
        <v>45695</v>
      </c>
      <c r="C187" s="5" t="s">
        <v>1014</v>
      </c>
      <c r="D187" s="11" t="s">
        <v>1206</v>
      </c>
      <c r="E187" s="5" t="s">
        <v>2242</v>
      </c>
      <c r="F187" s="5">
        <v>46</v>
      </c>
      <c r="G187" s="5" t="str" cm="1">
        <f t="array" ref="G187">_xlfn.IFS(F187&lt;12,"Child",F187&lt;18,"Teen",F187&lt;25,"Young",F187&lt;40,"Adult",F187&lt;60,"Middle Age",F187&gt;=60,"Old")</f>
        <v>Middle Age</v>
      </c>
      <c r="H187" s="5" t="s">
        <v>2044</v>
      </c>
      <c r="I187" s="5" t="s">
        <v>2050</v>
      </c>
      <c r="J187" s="5" t="s">
        <v>2023</v>
      </c>
      <c r="K187" s="5" t="str">
        <f>VLOOKUP(J187,Sheet2!$A$1:$B$11,2,FALSE)</f>
        <v>Formal Wear</v>
      </c>
      <c r="L187" s="5">
        <v>2</v>
      </c>
      <c r="M187" s="6">
        <v>995</v>
      </c>
      <c r="N187" s="6">
        <v>1990</v>
      </c>
      <c r="O187" s="7">
        <v>0</v>
      </c>
      <c r="P187" s="8">
        <f t="shared" si="4"/>
        <v>0</v>
      </c>
      <c r="Q187" s="9">
        <f t="shared" si="5"/>
        <v>1990</v>
      </c>
      <c r="R187" s="5">
        <v>39</v>
      </c>
      <c r="S187" s="5" t="s">
        <v>2033</v>
      </c>
      <c r="T187" s="5" t="s">
        <v>2035</v>
      </c>
    </row>
    <row r="188" spans="1:20" x14ac:dyDescent="0.25">
      <c r="A188" s="5" t="s">
        <v>201</v>
      </c>
      <c r="B188" s="10">
        <v>45703</v>
      </c>
      <c r="C188" s="5" t="s">
        <v>1020</v>
      </c>
      <c r="D188" s="11" t="s">
        <v>1207</v>
      </c>
      <c r="E188" s="5" t="s">
        <v>2243</v>
      </c>
      <c r="F188" s="5">
        <v>35</v>
      </c>
      <c r="G188" s="5" t="str" cm="1">
        <f t="array" ref="G188">_xlfn.IFS(F188&lt;12,"Child",F188&lt;18,"Teen",F188&lt;25,"Young",F188&lt;40,"Adult",F188&lt;60,"Middle Age",F188&gt;=60,"Old")</f>
        <v>Adult</v>
      </c>
      <c r="H188" s="5" t="s">
        <v>2043</v>
      </c>
      <c r="I188" s="5" t="s">
        <v>2047</v>
      </c>
      <c r="J188" s="5" t="s">
        <v>2020</v>
      </c>
      <c r="K188" s="5" t="str">
        <f>VLOOKUP(J188,Sheet2!$A$1:$B$11,2,FALSE)</f>
        <v>Summer Wear</v>
      </c>
      <c r="L188" s="5">
        <v>4</v>
      </c>
      <c r="M188" s="6">
        <v>239</v>
      </c>
      <c r="N188" s="6">
        <v>956</v>
      </c>
      <c r="O188" s="7">
        <v>0</v>
      </c>
      <c r="P188" s="8">
        <f t="shared" si="4"/>
        <v>0</v>
      </c>
      <c r="Q188" s="9">
        <f t="shared" si="5"/>
        <v>956</v>
      </c>
      <c r="R188" s="5">
        <v>19</v>
      </c>
      <c r="S188" s="5" t="s">
        <v>2032</v>
      </c>
      <c r="T188" s="5" t="s">
        <v>2035</v>
      </c>
    </row>
    <row r="189" spans="1:20" x14ac:dyDescent="0.25">
      <c r="A189" s="5" t="s">
        <v>202</v>
      </c>
      <c r="B189" s="10">
        <v>45417</v>
      </c>
      <c r="C189" s="5" t="s">
        <v>1015</v>
      </c>
      <c r="D189" s="11" t="s">
        <v>1208</v>
      </c>
      <c r="E189" s="5" t="s">
        <v>2244</v>
      </c>
      <c r="F189" s="5">
        <v>35</v>
      </c>
      <c r="G189" s="5" t="str" cm="1">
        <f t="array" ref="G189">_xlfn.IFS(F189&lt;12,"Child",F189&lt;18,"Teen",F189&lt;25,"Young",F189&lt;40,"Adult",F189&lt;60,"Middle Age",F189&gt;=60,"Old")</f>
        <v>Adult</v>
      </c>
      <c r="H189" s="5" t="s">
        <v>2044</v>
      </c>
      <c r="I189" s="5" t="s">
        <v>2047</v>
      </c>
      <c r="J189" s="5" t="s">
        <v>2018</v>
      </c>
      <c r="K189" s="5" t="str">
        <f>VLOOKUP(J189,Sheet2!$A$1:$B$11,2,FALSE)</f>
        <v>Sportswear</v>
      </c>
      <c r="L189" s="5">
        <v>3</v>
      </c>
      <c r="M189" s="6">
        <v>847</v>
      </c>
      <c r="N189" s="6">
        <v>2541</v>
      </c>
      <c r="O189" s="7">
        <v>0.15</v>
      </c>
      <c r="P189" s="8">
        <f t="shared" si="4"/>
        <v>381.15</v>
      </c>
      <c r="Q189" s="9">
        <f t="shared" si="5"/>
        <v>2159.85</v>
      </c>
      <c r="R189" s="5">
        <v>43</v>
      </c>
      <c r="S189" s="5" t="s">
        <v>2032</v>
      </c>
      <c r="T189" s="5" t="s">
        <v>2035</v>
      </c>
    </row>
    <row r="190" spans="1:20" x14ac:dyDescent="0.25">
      <c r="A190" s="5" t="s">
        <v>203</v>
      </c>
      <c r="B190" s="10">
        <v>45682</v>
      </c>
      <c r="C190" s="5" t="s">
        <v>1020</v>
      </c>
      <c r="D190" s="11" t="s">
        <v>1209</v>
      </c>
      <c r="E190" s="5" t="s">
        <v>2245</v>
      </c>
      <c r="F190" s="5">
        <v>34</v>
      </c>
      <c r="G190" s="5" t="str" cm="1">
        <f t="array" ref="G190">_xlfn.IFS(F190&lt;12,"Child",F190&lt;18,"Teen",F190&lt;25,"Young",F190&lt;40,"Adult",F190&lt;60,"Middle Age",F190&gt;=60,"Old")</f>
        <v>Adult</v>
      </c>
      <c r="H190" s="5" t="s">
        <v>2044</v>
      </c>
      <c r="I190" s="5" t="s">
        <v>2046</v>
      </c>
      <c r="J190" s="5" t="s">
        <v>2020</v>
      </c>
      <c r="K190" s="5" t="str">
        <f>VLOOKUP(J190,Sheet2!$A$1:$B$11,2,FALSE)</f>
        <v>Summer Wear</v>
      </c>
      <c r="L190" s="5">
        <v>2</v>
      </c>
      <c r="M190" s="6">
        <v>201</v>
      </c>
      <c r="N190" s="6">
        <v>402</v>
      </c>
      <c r="O190" s="7">
        <v>0.05</v>
      </c>
      <c r="P190" s="8">
        <f t="shared" si="4"/>
        <v>20.100000000000001</v>
      </c>
      <c r="Q190" s="9">
        <f t="shared" si="5"/>
        <v>381.9</v>
      </c>
      <c r="R190" s="5">
        <v>7</v>
      </c>
      <c r="S190" s="5" t="s">
        <v>2032</v>
      </c>
      <c r="T190" s="5" t="s">
        <v>2035</v>
      </c>
    </row>
    <row r="191" spans="1:20" x14ac:dyDescent="0.25">
      <c r="A191" s="5" t="s">
        <v>204</v>
      </c>
      <c r="B191" s="10">
        <v>45644</v>
      </c>
      <c r="C191" s="5" t="s">
        <v>1017</v>
      </c>
      <c r="D191" s="11" t="s">
        <v>1210</v>
      </c>
      <c r="E191" s="5" t="s">
        <v>2246</v>
      </c>
      <c r="F191" s="5">
        <v>30</v>
      </c>
      <c r="G191" s="5" t="str" cm="1">
        <f t="array" ref="G191">_xlfn.IFS(F191&lt;12,"Child",F191&lt;18,"Teen",F191&lt;25,"Young",F191&lt;40,"Adult",F191&lt;60,"Middle Age",F191&gt;=60,"Old")</f>
        <v>Adult</v>
      </c>
      <c r="H191" s="5" t="s">
        <v>2043</v>
      </c>
      <c r="I191" s="5" t="s">
        <v>2051</v>
      </c>
      <c r="J191" s="5" t="s">
        <v>2020</v>
      </c>
      <c r="K191" s="5" t="str">
        <f>VLOOKUP(J191,Sheet2!$A$1:$B$11,2,FALSE)</f>
        <v>Summer Wear</v>
      </c>
      <c r="L191" s="5">
        <v>2</v>
      </c>
      <c r="M191" s="6">
        <v>175</v>
      </c>
      <c r="N191" s="6">
        <v>350</v>
      </c>
      <c r="O191" s="7">
        <v>0.15</v>
      </c>
      <c r="P191" s="8">
        <f t="shared" si="4"/>
        <v>52.5</v>
      </c>
      <c r="Q191" s="9">
        <f t="shared" si="5"/>
        <v>297.5</v>
      </c>
      <c r="R191" s="5">
        <v>5</v>
      </c>
      <c r="S191" s="5" t="s">
        <v>2032</v>
      </c>
      <c r="T191" s="5" t="s">
        <v>2035</v>
      </c>
    </row>
    <row r="192" spans="1:20" x14ac:dyDescent="0.25">
      <c r="A192" s="5" t="s">
        <v>205</v>
      </c>
      <c r="B192" s="10">
        <v>45472</v>
      </c>
      <c r="C192" s="5" t="s">
        <v>1020</v>
      </c>
      <c r="D192" s="11" t="s">
        <v>1211</v>
      </c>
      <c r="E192" s="5" t="s">
        <v>2247</v>
      </c>
      <c r="F192" s="5">
        <v>26</v>
      </c>
      <c r="G192" s="5" t="str" cm="1">
        <f t="array" ref="G192">_xlfn.IFS(F192&lt;12,"Child",F192&lt;18,"Teen",F192&lt;25,"Young",F192&lt;40,"Adult",F192&lt;60,"Middle Age",F192&gt;=60,"Old")</f>
        <v>Adult</v>
      </c>
      <c r="H192" s="5" t="s">
        <v>2043</v>
      </c>
      <c r="I192" s="5" t="s">
        <v>2045</v>
      </c>
      <c r="J192" s="5" t="s">
        <v>2021</v>
      </c>
      <c r="K192" s="5" t="str">
        <f>VLOOKUP(J192,Sheet2!$A$1:$B$11,2,FALSE)</f>
        <v>Casual Wear</v>
      </c>
      <c r="L192" s="5">
        <v>2</v>
      </c>
      <c r="M192" s="6">
        <v>659</v>
      </c>
      <c r="N192" s="6">
        <v>1318</v>
      </c>
      <c r="O192" s="7">
        <v>0.2</v>
      </c>
      <c r="P192" s="8">
        <f t="shared" si="4"/>
        <v>263.60000000000002</v>
      </c>
      <c r="Q192" s="9">
        <f t="shared" si="5"/>
        <v>1054.4000000000001</v>
      </c>
      <c r="R192" s="5">
        <v>21</v>
      </c>
      <c r="S192" s="5" t="s">
        <v>2032</v>
      </c>
      <c r="T192" s="5" t="s">
        <v>2035</v>
      </c>
    </row>
    <row r="193" spans="1:20" x14ac:dyDescent="0.25">
      <c r="A193" s="5" t="s">
        <v>206</v>
      </c>
      <c r="B193" s="10">
        <v>45588</v>
      </c>
      <c r="C193" s="5" t="s">
        <v>1017</v>
      </c>
      <c r="D193" s="11" t="s">
        <v>1212</v>
      </c>
      <c r="E193" s="5" t="s">
        <v>2248</v>
      </c>
      <c r="F193" s="5">
        <v>31</v>
      </c>
      <c r="G193" s="5" t="str" cm="1">
        <f t="array" ref="G193">_xlfn.IFS(F193&lt;12,"Child",F193&lt;18,"Teen",F193&lt;25,"Young",F193&lt;40,"Adult",F193&lt;60,"Middle Age",F193&gt;=60,"Old")</f>
        <v>Adult</v>
      </c>
      <c r="H193" s="5" t="s">
        <v>2044</v>
      </c>
      <c r="I193" s="5" t="s">
        <v>2015</v>
      </c>
      <c r="J193" s="5" t="s">
        <v>2025</v>
      </c>
      <c r="K193" s="5" t="str">
        <f>VLOOKUP(J193,Sheet2!$A$1:$B$11,2,FALSE)</f>
        <v>Formal Wear</v>
      </c>
      <c r="L193" s="5">
        <v>3</v>
      </c>
      <c r="M193" s="6">
        <v>1167</v>
      </c>
      <c r="N193" s="6">
        <v>3501</v>
      </c>
      <c r="O193" s="7">
        <v>0.05</v>
      </c>
      <c r="P193" s="8">
        <f t="shared" si="4"/>
        <v>175.05</v>
      </c>
      <c r="Q193" s="9">
        <f t="shared" si="5"/>
        <v>3325.95</v>
      </c>
      <c r="R193" s="5">
        <v>66</v>
      </c>
      <c r="S193" s="5" t="s">
        <v>2033</v>
      </c>
      <c r="T193" s="5" t="s">
        <v>2035</v>
      </c>
    </row>
    <row r="194" spans="1:20" x14ac:dyDescent="0.25">
      <c r="A194" s="5" t="s">
        <v>207</v>
      </c>
      <c r="B194" s="10">
        <v>45712</v>
      </c>
      <c r="C194" s="5" t="s">
        <v>1016</v>
      </c>
      <c r="D194" s="11" t="s">
        <v>1213</v>
      </c>
      <c r="E194" s="5" t="s">
        <v>2249</v>
      </c>
      <c r="F194" s="5">
        <v>41</v>
      </c>
      <c r="G194" s="5" t="str" cm="1">
        <f t="array" ref="G194">_xlfn.IFS(F194&lt;12,"Child",F194&lt;18,"Teen",F194&lt;25,"Young",F194&lt;40,"Adult",F194&lt;60,"Middle Age",F194&gt;=60,"Old")</f>
        <v>Middle Age</v>
      </c>
      <c r="H194" s="5" t="s">
        <v>2043</v>
      </c>
      <c r="I194" s="5" t="s">
        <v>2046</v>
      </c>
      <c r="J194" s="5" t="s">
        <v>2022</v>
      </c>
      <c r="K194" s="5" t="str">
        <f>VLOOKUP(J194,Sheet2!$A$1:$B$11,2,FALSE)</f>
        <v>Sportswear</v>
      </c>
      <c r="L194" s="5">
        <v>3</v>
      </c>
      <c r="M194" s="6">
        <v>208</v>
      </c>
      <c r="N194" s="6">
        <v>624</v>
      </c>
      <c r="O194" s="7">
        <v>0</v>
      </c>
      <c r="P194" s="8">
        <f t="shared" si="4"/>
        <v>0</v>
      </c>
      <c r="Q194" s="9">
        <f t="shared" si="5"/>
        <v>624</v>
      </c>
      <c r="R194" s="5">
        <v>12</v>
      </c>
      <c r="S194" s="5" t="s">
        <v>2033</v>
      </c>
      <c r="T194" s="5" t="s">
        <v>2036</v>
      </c>
    </row>
    <row r="195" spans="1:20" x14ac:dyDescent="0.25">
      <c r="A195" s="5" t="s">
        <v>208</v>
      </c>
      <c r="B195" s="10">
        <v>45575</v>
      </c>
      <c r="C195" s="5" t="s">
        <v>1018</v>
      </c>
      <c r="D195" s="11" t="s">
        <v>1214</v>
      </c>
      <c r="E195" s="5" t="s">
        <v>2250</v>
      </c>
      <c r="F195" s="5">
        <v>37</v>
      </c>
      <c r="G195" s="5" t="str" cm="1">
        <f t="array" ref="G195">_xlfn.IFS(F195&lt;12,"Child",F195&lt;18,"Teen",F195&lt;25,"Young",F195&lt;40,"Adult",F195&lt;60,"Middle Age",F195&gt;=60,"Old")</f>
        <v>Adult</v>
      </c>
      <c r="H195" s="5" t="s">
        <v>2043</v>
      </c>
      <c r="I195" s="5" t="s">
        <v>2045</v>
      </c>
      <c r="J195" s="5" t="s">
        <v>2018</v>
      </c>
      <c r="K195" s="5" t="str">
        <f>VLOOKUP(J195,Sheet2!$A$1:$B$11,2,FALSE)</f>
        <v>Sportswear</v>
      </c>
      <c r="L195" s="5">
        <v>1</v>
      </c>
      <c r="M195" s="6">
        <v>733</v>
      </c>
      <c r="N195" s="6">
        <v>733</v>
      </c>
      <c r="O195" s="7">
        <v>0.1</v>
      </c>
      <c r="P195" s="8">
        <f t="shared" ref="P195:P258" si="6">N195*O195</f>
        <v>73.3</v>
      </c>
      <c r="Q195" s="9">
        <f t="shared" ref="Q195:Q258" si="7">N195-P195</f>
        <v>659.7</v>
      </c>
      <c r="R195" s="5">
        <v>13</v>
      </c>
      <c r="S195" s="5" t="s">
        <v>2032</v>
      </c>
      <c r="T195" s="5" t="s">
        <v>2035</v>
      </c>
    </row>
    <row r="196" spans="1:20" x14ac:dyDescent="0.25">
      <c r="A196" s="5" t="s">
        <v>209</v>
      </c>
      <c r="B196" s="10">
        <v>45453</v>
      </c>
      <c r="C196" s="5" t="s">
        <v>1016</v>
      </c>
      <c r="D196" s="11" t="s">
        <v>1215</v>
      </c>
      <c r="E196" s="5" t="s">
        <v>2251</v>
      </c>
      <c r="F196" s="5">
        <v>43</v>
      </c>
      <c r="G196" s="5" t="str" cm="1">
        <f t="array" ref="G196">_xlfn.IFS(F196&lt;12,"Child",F196&lt;18,"Teen",F196&lt;25,"Young",F196&lt;40,"Adult",F196&lt;60,"Middle Age",F196&gt;=60,"Old")</f>
        <v>Middle Age</v>
      </c>
      <c r="H196" s="5" t="s">
        <v>2044</v>
      </c>
      <c r="I196" s="5" t="s">
        <v>2049</v>
      </c>
      <c r="J196" s="5" t="s">
        <v>2024</v>
      </c>
      <c r="K196" s="5" t="str">
        <f>VLOOKUP(J196,Sheet2!$A$1:$B$11,2,FALSE)</f>
        <v>Fashion Accessories</v>
      </c>
      <c r="L196" s="5">
        <v>3</v>
      </c>
      <c r="M196" s="6">
        <v>745</v>
      </c>
      <c r="N196" s="6">
        <v>2235</v>
      </c>
      <c r="O196" s="7">
        <v>0</v>
      </c>
      <c r="P196" s="8">
        <f t="shared" si="6"/>
        <v>0</v>
      </c>
      <c r="Q196" s="9">
        <f t="shared" si="7"/>
        <v>2235</v>
      </c>
      <c r="R196" s="5">
        <v>44</v>
      </c>
      <c r="S196" s="5" t="s">
        <v>2034</v>
      </c>
      <c r="T196" s="5" t="s">
        <v>2035</v>
      </c>
    </row>
    <row r="197" spans="1:20" x14ac:dyDescent="0.25">
      <c r="A197" s="5" t="s">
        <v>210</v>
      </c>
      <c r="B197" s="10">
        <v>45415</v>
      </c>
      <c r="C197" s="5" t="s">
        <v>1014</v>
      </c>
      <c r="D197" s="11" t="s">
        <v>1216</v>
      </c>
      <c r="E197" s="5" t="s">
        <v>2252</v>
      </c>
      <c r="F197" s="5">
        <v>53</v>
      </c>
      <c r="G197" s="5" t="str" cm="1">
        <f t="array" ref="G197">_xlfn.IFS(F197&lt;12,"Child",F197&lt;18,"Teen",F197&lt;25,"Young",F197&lt;40,"Adult",F197&lt;60,"Middle Age",F197&gt;=60,"Old")</f>
        <v>Middle Age</v>
      </c>
      <c r="H197" s="5" t="s">
        <v>2043</v>
      </c>
      <c r="I197" s="5" t="s">
        <v>2053</v>
      </c>
      <c r="J197" s="5" t="s">
        <v>2020</v>
      </c>
      <c r="K197" s="5" t="str">
        <f>VLOOKUP(J197,Sheet2!$A$1:$B$11,2,FALSE)</f>
        <v>Summer Wear</v>
      </c>
      <c r="L197" s="5">
        <v>1</v>
      </c>
      <c r="M197" s="6">
        <v>441</v>
      </c>
      <c r="N197" s="6">
        <v>441</v>
      </c>
      <c r="O197" s="7">
        <v>0.15</v>
      </c>
      <c r="P197" s="8">
        <f t="shared" si="6"/>
        <v>66.149999999999991</v>
      </c>
      <c r="Q197" s="9">
        <f t="shared" si="7"/>
        <v>374.85</v>
      </c>
      <c r="R197" s="5">
        <v>7</v>
      </c>
      <c r="S197" s="5" t="s">
        <v>2033</v>
      </c>
      <c r="T197" s="5" t="s">
        <v>2035</v>
      </c>
    </row>
    <row r="198" spans="1:20" x14ac:dyDescent="0.25">
      <c r="A198" s="5" t="s">
        <v>211</v>
      </c>
      <c r="B198" s="10">
        <v>45398</v>
      </c>
      <c r="C198" s="5" t="s">
        <v>1019</v>
      </c>
      <c r="D198" s="11" t="s">
        <v>1217</v>
      </c>
      <c r="E198" s="5" t="s">
        <v>2253</v>
      </c>
      <c r="F198" s="5">
        <v>29</v>
      </c>
      <c r="G198" s="5" t="str" cm="1">
        <f t="array" ref="G198">_xlfn.IFS(F198&lt;12,"Child",F198&lt;18,"Teen",F198&lt;25,"Young",F198&lt;40,"Adult",F198&lt;60,"Middle Age",F198&gt;=60,"Old")</f>
        <v>Adult</v>
      </c>
      <c r="H198" s="5" t="s">
        <v>2044</v>
      </c>
      <c r="I198" s="5" t="s">
        <v>2046</v>
      </c>
      <c r="J198" s="5" t="s">
        <v>2022</v>
      </c>
      <c r="K198" s="5" t="str">
        <f>VLOOKUP(J198,Sheet2!$A$1:$B$11,2,FALSE)</f>
        <v>Sportswear</v>
      </c>
      <c r="L198" s="5">
        <v>5</v>
      </c>
      <c r="M198" s="6">
        <v>943</v>
      </c>
      <c r="N198" s="6">
        <v>4715</v>
      </c>
      <c r="O198" s="7">
        <v>0.1</v>
      </c>
      <c r="P198" s="8">
        <f t="shared" si="6"/>
        <v>471.5</v>
      </c>
      <c r="Q198" s="9">
        <f t="shared" si="7"/>
        <v>4243.5</v>
      </c>
      <c r="R198" s="5">
        <v>84</v>
      </c>
      <c r="S198" s="5" t="s">
        <v>2033</v>
      </c>
      <c r="T198" s="5" t="s">
        <v>2037</v>
      </c>
    </row>
    <row r="199" spans="1:20" x14ac:dyDescent="0.25">
      <c r="A199" s="5" t="s">
        <v>212</v>
      </c>
      <c r="B199" s="10">
        <v>45387</v>
      </c>
      <c r="C199" s="5" t="s">
        <v>1014</v>
      </c>
      <c r="D199" s="11" t="s">
        <v>1218</v>
      </c>
      <c r="E199" s="5" t="s">
        <v>2254</v>
      </c>
      <c r="F199" s="5">
        <v>25</v>
      </c>
      <c r="G199" s="5" t="str" cm="1">
        <f t="array" ref="G199">_xlfn.IFS(F199&lt;12,"Child",F199&lt;18,"Teen",F199&lt;25,"Young",F199&lt;40,"Adult",F199&lt;60,"Middle Age",F199&gt;=60,"Old")</f>
        <v>Adult</v>
      </c>
      <c r="H199" s="5" t="s">
        <v>2044</v>
      </c>
      <c r="I199" s="5" t="s">
        <v>2052</v>
      </c>
      <c r="J199" s="5" t="s">
        <v>2024</v>
      </c>
      <c r="K199" s="5" t="str">
        <f>VLOOKUP(J199,Sheet2!$A$1:$B$11,2,FALSE)</f>
        <v>Fashion Accessories</v>
      </c>
      <c r="L199" s="5">
        <v>1</v>
      </c>
      <c r="M199" s="6">
        <v>258</v>
      </c>
      <c r="N199" s="6">
        <v>258</v>
      </c>
      <c r="O199" s="7">
        <v>0.1</v>
      </c>
      <c r="P199" s="8">
        <f t="shared" si="6"/>
        <v>25.8</v>
      </c>
      <c r="Q199" s="9">
        <f t="shared" si="7"/>
        <v>232.2</v>
      </c>
      <c r="R199" s="5">
        <v>4</v>
      </c>
      <c r="S199" s="5" t="s">
        <v>2033</v>
      </c>
      <c r="T199" s="5" t="s">
        <v>2036</v>
      </c>
    </row>
    <row r="200" spans="1:20" x14ac:dyDescent="0.25">
      <c r="A200" s="5" t="s">
        <v>213</v>
      </c>
      <c r="B200" s="10">
        <v>45422</v>
      </c>
      <c r="C200" s="5" t="s">
        <v>1014</v>
      </c>
      <c r="D200" s="11" t="s">
        <v>1219</v>
      </c>
      <c r="E200" s="5" t="s">
        <v>2255</v>
      </c>
      <c r="F200" s="5">
        <v>20</v>
      </c>
      <c r="G200" s="5" t="str" cm="1">
        <f t="array" ref="G200">_xlfn.IFS(F200&lt;12,"Child",F200&lt;18,"Teen",F200&lt;25,"Young",F200&lt;40,"Adult",F200&lt;60,"Middle Age",F200&gt;=60,"Old")</f>
        <v>Young</v>
      </c>
      <c r="H200" s="5" t="s">
        <v>2043</v>
      </c>
      <c r="I200" s="5" t="s">
        <v>2052</v>
      </c>
      <c r="J200" s="5" t="s">
        <v>2021</v>
      </c>
      <c r="K200" s="5" t="str">
        <f>VLOOKUP(J200,Sheet2!$A$1:$B$11,2,FALSE)</f>
        <v>Casual Wear</v>
      </c>
      <c r="L200" s="5">
        <v>2</v>
      </c>
      <c r="M200" s="6">
        <v>281</v>
      </c>
      <c r="N200" s="6">
        <v>562</v>
      </c>
      <c r="O200" s="7">
        <v>0.1</v>
      </c>
      <c r="P200" s="8">
        <f t="shared" si="6"/>
        <v>56.2</v>
      </c>
      <c r="Q200" s="9">
        <f t="shared" si="7"/>
        <v>505.8</v>
      </c>
      <c r="R200" s="5">
        <v>10</v>
      </c>
      <c r="S200" s="5" t="s">
        <v>2032</v>
      </c>
      <c r="T200" s="5" t="s">
        <v>2037</v>
      </c>
    </row>
    <row r="201" spans="1:20" x14ac:dyDescent="0.25">
      <c r="A201" s="5" t="s">
        <v>214</v>
      </c>
      <c r="B201" s="10">
        <v>45609</v>
      </c>
      <c r="C201" s="5" t="s">
        <v>1017</v>
      </c>
      <c r="D201" s="11" t="s">
        <v>1220</v>
      </c>
      <c r="E201" s="5" t="s">
        <v>2256</v>
      </c>
      <c r="F201" s="5">
        <v>38</v>
      </c>
      <c r="G201" s="5" t="str" cm="1">
        <f t="array" ref="G201">_xlfn.IFS(F201&lt;12,"Child",F201&lt;18,"Teen",F201&lt;25,"Young",F201&lt;40,"Adult",F201&lt;60,"Middle Age",F201&gt;=60,"Old")</f>
        <v>Adult</v>
      </c>
      <c r="H201" s="5" t="s">
        <v>2043</v>
      </c>
      <c r="I201" s="5" t="s">
        <v>2015</v>
      </c>
      <c r="J201" s="5" t="s">
        <v>2023</v>
      </c>
      <c r="K201" s="5" t="str">
        <f>VLOOKUP(J201,Sheet2!$A$1:$B$11,2,FALSE)</f>
        <v>Formal Wear</v>
      </c>
      <c r="L201" s="5">
        <v>3</v>
      </c>
      <c r="M201" s="6">
        <v>1045</v>
      </c>
      <c r="N201" s="6">
        <v>3135</v>
      </c>
      <c r="O201" s="7">
        <v>0</v>
      </c>
      <c r="P201" s="8">
        <f t="shared" si="6"/>
        <v>0</v>
      </c>
      <c r="Q201" s="9">
        <f t="shared" si="7"/>
        <v>3135</v>
      </c>
      <c r="R201" s="5">
        <v>62</v>
      </c>
      <c r="S201" s="5" t="s">
        <v>2033</v>
      </c>
      <c r="T201" s="5" t="s">
        <v>2035</v>
      </c>
    </row>
    <row r="202" spans="1:20" x14ac:dyDescent="0.25">
      <c r="A202" s="5" t="s">
        <v>215</v>
      </c>
      <c r="B202" s="10">
        <v>45641</v>
      </c>
      <c r="C202" s="5" t="s">
        <v>1015</v>
      </c>
      <c r="D202" s="11" t="s">
        <v>1221</v>
      </c>
      <c r="E202" s="5" t="s">
        <v>2257</v>
      </c>
      <c r="F202" s="5">
        <v>32</v>
      </c>
      <c r="G202" s="5" t="str" cm="1">
        <f t="array" ref="G202">_xlfn.IFS(F202&lt;12,"Child",F202&lt;18,"Teen",F202&lt;25,"Young",F202&lt;40,"Adult",F202&lt;60,"Middle Age",F202&gt;=60,"Old")</f>
        <v>Adult</v>
      </c>
      <c r="H202" s="5" t="s">
        <v>2043</v>
      </c>
      <c r="I202" s="5" t="s">
        <v>2052</v>
      </c>
      <c r="J202" s="5" t="s">
        <v>2020</v>
      </c>
      <c r="K202" s="5" t="str">
        <f>VLOOKUP(J202,Sheet2!$A$1:$B$11,2,FALSE)</f>
        <v>Summer Wear</v>
      </c>
      <c r="L202" s="5">
        <v>4</v>
      </c>
      <c r="M202" s="6">
        <v>855</v>
      </c>
      <c r="N202" s="6">
        <v>3420</v>
      </c>
      <c r="O202" s="7">
        <v>0.1</v>
      </c>
      <c r="P202" s="8">
        <f t="shared" si="6"/>
        <v>342</v>
      </c>
      <c r="Q202" s="9">
        <f t="shared" si="7"/>
        <v>3078</v>
      </c>
      <c r="R202" s="5">
        <v>61</v>
      </c>
      <c r="S202" s="5" t="s">
        <v>2034</v>
      </c>
      <c r="T202" s="5" t="s">
        <v>2037</v>
      </c>
    </row>
    <row r="203" spans="1:20" x14ac:dyDescent="0.25">
      <c r="A203" s="5" t="s">
        <v>216</v>
      </c>
      <c r="B203" s="10">
        <v>45690</v>
      </c>
      <c r="C203" s="5" t="s">
        <v>1015</v>
      </c>
      <c r="D203" s="11" t="s">
        <v>1222</v>
      </c>
      <c r="E203" s="5" t="s">
        <v>2258</v>
      </c>
      <c r="F203" s="5">
        <v>59</v>
      </c>
      <c r="G203" s="5" t="str" cm="1">
        <f t="array" ref="G203">_xlfn.IFS(F203&lt;12,"Child",F203&lt;18,"Teen",F203&lt;25,"Young",F203&lt;40,"Adult",F203&lt;60,"Middle Age",F203&gt;=60,"Old")</f>
        <v>Middle Age</v>
      </c>
      <c r="H203" s="5" t="s">
        <v>2043</v>
      </c>
      <c r="I203" s="5" t="s">
        <v>2053</v>
      </c>
      <c r="J203" s="5" t="s">
        <v>2023</v>
      </c>
      <c r="K203" s="5" t="str">
        <f>VLOOKUP(J203,Sheet2!$A$1:$B$11,2,FALSE)</f>
        <v>Formal Wear</v>
      </c>
      <c r="L203" s="5">
        <v>1</v>
      </c>
      <c r="M203" s="6">
        <v>238</v>
      </c>
      <c r="N203" s="6">
        <v>238</v>
      </c>
      <c r="O203" s="7">
        <v>0.2</v>
      </c>
      <c r="P203" s="8">
        <f t="shared" si="6"/>
        <v>47.6</v>
      </c>
      <c r="Q203" s="9">
        <f t="shared" si="7"/>
        <v>190.4</v>
      </c>
      <c r="R203" s="5">
        <v>3</v>
      </c>
      <c r="S203" s="5" t="s">
        <v>2032</v>
      </c>
      <c r="T203" s="5" t="s">
        <v>2035</v>
      </c>
    </row>
    <row r="204" spans="1:20" x14ac:dyDescent="0.25">
      <c r="A204" s="5" t="s">
        <v>217</v>
      </c>
      <c r="B204" s="10">
        <v>45533</v>
      </c>
      <c r="C204" s="5" t="s">
        <v>1018</v>
      </c>
      <c r="D204" s="11" t="s">
        <v>1223</v>
      </c>
      <c r="E204" s="5" t="s">
        <v>2259</v>
      </c>
      <c r="F204" s="5">
        <v>36</v>
      </c>
      <c r="G204" s="5" t="str" cm="1">
        <f t="array" ref="G204">_xlfn.IFS(F204&lt;12,"Child",F204&lt;18,"Teen",F204&lt;25,"Young",F204&lt;40,"Adult",F204&lt;60,"Middle Age",F204&gt;=60,"Old")</f>
        <v>Adult</v>
      </c>
      <c r="H204" s="5" t="s">
        <v>2044</v>
      </c>
      <c r="I204" s="5" t="s">
        <v>2051</v>
      </c>
      <c r="J204" s="5" t="s">
        <v>2016</v>
      </c>
      <c r="K204" s="5" t="str">
        <f>VLOOKUP(J204,Sheet2!$A$1:$B$11,2,FALSE)</f>
        <v>Winter Wear</v>
      </c>
      <c r="L204" s="5">
        <v>5</v>
      </c>
      <c r="M204" s="6">
        <v>616</v>
      </c>
      <c r="N204" s="6">
        <v>3080</v>
      </c>
      <c r="O204" s="7">
        <v>0.1</v>
      </c>
      <c r="P204" s="8">
        <f t="shared" si="6"/>
        <v>308</v>
      </c>
      <c r="Q204" s="9">
        <f t="shared" si="7"/>
        <v>2772</v>
      </c>
      <c r="R204" s="5">
        <v>55</v>
      </c>
      <c r="S204" s="5" t="s">
        <v>2032</v>
      </c>
      <c r="T204" s="5" t="s">
        <v>2036</v>
      </c>
    </row>
    <row r="205" spans="1:20" x14ac:dyDescent="0.25">
      <c r="A205" s="5" t="s">
        <v>218</v>
      </c>
      <c r="B205" s="10">
        <v>45638</v>
      </c>
      <c r="C205" s="5" t="s">
        <v>1018</v>
      </c>
      <c r="D205" s="11" t="s">
        <v>1224</v>
      </c>
      <c r="E205" s="5" t="s">
        <v>2260</v>
      </c>
      <c r="F205" s="5">
        <v>18</v>
      </c>
      <c r="G205" s="5" t="str" cm="1">
        <f t="array" ref="G205">_xlfn.IFS(F205&lt;12,"Child",F205&lt;18,"Teen",F205&lt;25,"Young",F205&lt;40,"Adult",F205&lt;60,"Middle Age",F205&gt;=60,"Old")</f>
        <v>Young</v>
      </c>
      <c r="H205" s="5" t="s">
        <v>2043</v>
      </c>
      <c r="I205" s="5" t="s">
        <v>2051</v>
      </c>
      <c r="J205" s="5" t="s">
        <v>2020</v>
      </c>
      <c r="K205" s="5" t="str">
        <f>VLOOKUP(J205,Sheet2!$A$1:$B$11,2,FALSE)</f>
        <v>Summer Wear</v>
      </c>
      <c r="L205" s="5">
        <v>5</v>
      </c>
      <c r="M205" s="6">
        <v>987</v>
      </c>
      <c r="N205" s="6">
        <v>4935</v>
      </c>
      <c r="O205" s="7">
        <v>0.05</v>
      </c>
      <c r="P205" s="8">
        <f t="shared" si="6"/>
        <v>246.75</v>
      </c>
      <c r="Q205" s="9">
        <f t="shared" si="7"/>
        <v>4688.25</v>
      </c>
      <c r="R205" s="5">
        <v>93</v>
      </c>
      <c r="S205" s="5" t="s">
        <v>2034</v>
      </c>
      <c r="T205" s="5" t="s">
        <v>2035</v>
      </c>
    </row>
    <row r="206" spans="1:20" x14ac:dyDescent="0.25">
      <c r="A206" s="5" t="s">
        <v>219</v>
      </c>
      <c r="B206" s="10">
        <v>45600</v>
      </c>
      <c r="C206" s="5" t="s">
        <v>1016</v>
      </c>
      <c r="D206" s="11" t="s">
        <v>1225</v>
      </c>
      <c r="E206" s="5" t="s">
        <v>2261</v>
      </c>
      <c r="F206" s="5">
        <v>60</v>
      </c>
      <c r="G206" s="5" t="str" cm="1">
        <f t="array" ref="G206">_xlfn.IFS(F206&lt;12,"Child",F206&lt;18,"Teen",F206&lt;25,"Young",F206&lt;40,"Adult",F206&lt;60,"Middle Age",F206&gt;=60,"Old")</f>
        <v>Old</v>
      </c>
      <c r="H206" s="5" t="s">
        <v>2043</v>
      </c>
      <c r="I206" s="5" t="s">
        <v>2049</v>
      </c>
      <c r="J206" s="5" t="s">
        <v>2019</v>
      </c>
      <c r="K206" s="5" t="str">
        <f>VLOOKUP(J206,Sheet2!$A$1:$B$11,2,FALSE)</f>
        <v>Formal Wear</v>
      </c>
      <c r="L206" s="5">
        <v>1</v>
      </c>
      <c r="M206" s="6">
        <v>972</v>
      </c>
      <c r="N206" s="6">
        <v>972</v>
      </c>
      <c r="O206" s="7">
        <v>0.2</v>
      </c>
      <c r="P206" s="8">
        <f t="shared" si="6"/>
        <v>194.4</v>
      </c>
      <c r="Q206" s="9">
        <f t="shared" si="7"/>
        <v>777.6</v>
      </c>
      <c r="R206" s="5">
        <v>15</v>
      </c>
      <c r="S206" s="5" t="s">
        <v>2032</v>
      </c>
      <c r="T206" s="5" t="s">
        <v>2037</v>
      </c>
    </row>
    <row r="207" spans="1:20" x14ac:dyDescent="0.25">
      <c r="A207" s="5" t="s">
        <v>220</v>
      </c>
      <c r="B207" s="10">
        <v>45585</v>
      </c>
      <c r="C207" s="5" t="s">
        <v>1015</v>
      </c>
      <c r="D207" s="11" t="s">
        <v>1226</v>
      </c>
      <c r="E207" s="5" t="s">
        <v>2262</v>
      </c>
      <c r="F207" s="5">
        <v>32</v>
      </c>
      <c r="G207" s="5" t="str" cm="1">
        <f t="array" ref="G207">_xlfn.IFS(F207&lt;12,"Child",F207&lt;18,"Teen",F207&lt;25,"Young",F207&lt;40,"Adult",F207&lt;60,"Middle Age",F207&gt;=60,"Old")</f>
        <v>Adult</v>
      </c>
      <c r="H207" s="5" t="s">
        <v>2044</v>
      </c>
      <c r="I207" s="5" t="s">
        <v>2051</v>
      </c>
      <c r="J207" s="5" t="s">
        <v>2020</v>
      </c>
      <c r="K207" s="5" t="str">
        <f>VLOOKUP(J207,Sheet2!$A$1:$B$11,2,FALSE)</f>
        <v>Summer Wear</v>
      </c>
      <c r="L207" s="5">
        <v>3</v>
      </c>
      <c r="M207" s="6">
        <v>418</v>
      </c>
      <c r="N207" s="6">
        <v>1254</v>
      </c>
      <c r="O207" s="7">
        <v>0.1</v>
      </c>
      <c r="P207" s="8">
        <f t="shared" si="6"/>
        <v>125.4</v>
      </c>
      <c r="Q207" s="9">
        <f t="shared" si="7"/>
        <v>1128.5999999999999</v>
      </c>
      <c r="R207" s="5">
        <v>22</v>
      </c>
      <c r="S207" s="5" t="s">
        <v>2034</v>
      </c>
      <c r="T207" s="5" t="s">
        <v>2037</v>
      </c>
    </row>
    <row r="208" spans="1:20" x14ac:dyDescent="0.25">
      <c r="A208" s="5" t="s">
        <v>221</v>
      </c>
      <c r="B208" s="10">
        <v>45483</v>
      </c>
      <c r="C208" s="5" t="s">
        <v>1017</v>
      </c>
      <c r="D208" s="11" t="s">
        <v>1227</v>
      </c>
      <c r="E208" s="5" t="s">
        <v>2263</v>
      </c>
      <c r="F208" s="5">
        <v>30</v>
      </c>
      <c r="G208" s="5" t="str" cm="1">
        <f t="array" ref="G208">_xlfn.IFS(F208&lt;12,"Child",F208&lt;18,"Teen",F208&lt;25,"Young",F208&lt;40,"Adult",F208&lt;60,"Middle Age",F208&gt;=60,"Old")</f>
        <v>Adult</v>
      </c>
      <c r="H208" s="5" t="s">
        <v>2044</v>
      </c>
      <c r="I208" s="5" t="s">
        <v>2051</v>
      </c>
      <c r="J208" s="5" t="s">
        <v>2025</v>
      </c>
      <c r="K208" s="5" t="str">
        <f>VLOOKUP(J208,Sheet2!$A$1:$B$11,2,FALSE)</f>
        <v>Formal Wear</v>
      </c>
      <c r="L208" s="5">
        <v>5</v>
      </c>
      <c r="M208" s="6">
        <v>1043</v>
      </c>
      <c r="N208" s="6">
        <v>5215</v>
      </c>
      <c r="O208" s="7">
        <v>0.2</v>
      </c>
      <c r="P208" s="8">
        <f t="shared" si="6"/>
        <v>1043</v>
      </c>
      <c r="Q208" s="9">
        <f t="shared" si="7"/>
        <v>4172</v>
      </c>
      <c r="R208" s="5">
        <v>83</v>
      </c>
      <c r="S208" s="5" t="s">
        <v>2033</v>
      </c>
      <c r="T208" s="5" t="s">
        <v>2037</v>
      </c>
    </row>
    <row r="209" spans="1:20" x14ac:dyDescent="0.25">
      <c r="A209" s="5" t="s">
        <v>222</v>
      </c>
      <c r="B209" s="10">
        <v>45584</v>
      </c>
      <c r="C209" s="5" t="s">
        <v>1020</v>
      </c>
      <c r="D209" s="11" t="s">
        <v>1228</v>
      </c>
      <c r="E209" s="5" t="s">
        <v>2264</v>
      </c>
      <c r="F209" s="5">
        <v>51</v>
      </c>
      <c r="G209" s="5" t="str" cm="1">
        <f t="array" ref="G209">_xlfn.IFS(F209&lt;12,"Child",F209&lt;18,"Teen",F209&lt;25,"Young",F209&lt;40,"Adult",F209&lt;60,"Middle Age",F209&gt;=60,"Old")</f>
        <v>Middle Age</v>
      </c>
      <c r="H209" s="5" t="s">
        <v>2043</v>
      </c>
      <c r="I209" s="5" t="s">
        <v>2045</v>
      </c>
      <c r="J209" s="5" t="s">
        <v>2024</v>
      </c>
      <c r="K209" s="5" t="str">
        <f>VLOOKUP(J209,Sheet2!$A$1:$B$11,2,FALSE)</f>
        <v>Fashion Accessories</v>
      </c>
      <c r="L209" s="5">
        <v>1</v>
      </c>
      <c r="M209" s="6">
        <v>893</v>
      </c>
      <c r="N209" s="6">
        <v>893</v>
      </c>
      <c r="O209" s="7">
        <v>0.2</v>
      </c>
      <c r="P209" s="8">
        <f t="shared" si="6"/>
        <v>178.60000000000002</v>
      </c>
      <c r="Q209" s="9">
        <f t="shared" si="7"/>
        <v>714.4</v>
      </c>
      <c r="R209" s="5">
        <v>14</v>
      </c>
      <c r="S209" s="5" t="s">
        <v>2034</v>
      </c>
      <c r="T209" s="5" t="s">
        <v>2036</v>
      </c>
    </row>
    <row r="210" spans="1:20" x14ac:dyDescent="0.25">
      <c r="A210" s="5" t="s">
        <v>223</v>
      </c>
      <c r="B210" s="10">
        <v>45670</v>
      </c>
      <c r="C210" s="5" t="s">
        <v>1016</v>
      </c>
      <c r="D210" s="11" t="s">
        <v>1229</v>
      </c>
      <c r="E210" s="5" t="s">
        <v>2265</v>
      </c>
      <c r="F210" s="5">
        <v>44</v>
      </c>
      <c r="G210" s="5" t="str" cm="1">
        <f t="array" ref="G210">_xlfn.IFS(F210&lt;12,"Child",F210&lt;18,"Teen",F210&lt;25,"Young",F210&lt;40,"Adult",F210&lt;60,"Middle Age",F210&gt;=60,"Old")</f>
        <v>Middle Age</v>
      </c>
      <c r="H210" s="5" t="s">
        <v>2043</v>
      </c>
      <c r="I210" s="5" t="s">
        <v>2048</v>
      </c>
      <c r="J210" s="5" t="s">
        <v>2024</v>
      </c>
      <c r="K210" s="5" t="str">
        <f>VLOOKUP(J210,Sheet2!$A$1:$B$11,2,FALSE)</f>
        <v>Fashion Accessories</v>
      </c>
      <c r="L210" s="5">
        <v>5</v>
      </c>
      <c r="M210" s="6">
        <v>355</v>
      </c>
      <c r="N210" s="6">
        <v>1775</v>
      </c>
      <c r="O210" s="7">
        <v>0.05</v>
      </c>
      <c r="P210" s="8">
        <f t="shared" si="6"/>
        <v>88.75</v>
      </c>
      <c r="Q210" s="9">
        <f t="shared" si="7"/>
        <v>1686.25</v>
      </c>
      <c r="R210" s="5">
        <v>33</v>
      </c>
      <c r="S210" s="5" t="s">
        <v>2033</v>
      </c>
      <c r="T210" s="5" t="s">
        <v>2035</v>
      </c>
    </row>
    <row r="211" spans="1:20" x14ac:dyDescent="0.25">
      <c r="A211" s="5" t="s">
        <v>224</v>
      </c>
      <c r="B211" s="10">
        <v>45465</v>
      </c>
      <c r="C211" s="5" t="s">
        <v>1020</v>
      </c>
      <c r="D211" s="11" t="s">
        <v>1230</v>
      </c>
      <c r="E211" s="5" t="s">
        <v>2266</v>
      </c>
      <c r="F211" s="5">
        <v>29</v>
      </c>
      <c r="G211" s="5" t="str" cm="1">
        <f t="array" ref="G211">_xlfn.IFS(F211&lt;12,"Child",F211&lt;18,"Teen",F211&lt;25,"Young",F211&lt;40,"Adult",F211&lt;60,"Middle Age",F211&gt;=60,"Old")</f>
        <v>Adult</v>
      </c>
      <c r="H211" s="5" t="s">
        <v>2043</v>
      </c>
      <c r="I211" s="5" t="s">
        <v>2015</v>
      </c>
      <c r="J211" s="5" t="s">
        <v>2022</v>
      </c>
      <c r="K211" s="5" t="str">
        <f>VLOOKUP(J211,Sheet2!$A$1:$B$11,2,FALSE)</f>
        <v>Sportswear</v>
      </c>
      <c r="L211" s="5">
        <v>5</v>
      </c>
      <c r="M211" s="6">
        <v>837</v>
      </c>
      <c r="N211" s="6">
        <v>4185</v>
      </c>
      <c r="O211" s="7">
        <v>0.15</v>
      </c>
      <c r="P211" s="8">
        <f t="shared" si="6"/>
        <v>627.75</v>
      </c>
      <c r="Q211" s="9">
        <f t="shared" si="7"/>
        <v>3557.25</v>
      </c>
      <c r="R211" s="5">
        <v>71</v>
      </c>
      <c r="S211" s="5" t="s">
        <v>2033</v>
      </c>
      <c r="T211" s="5" t="s">
        <v>2035</v>
      </c>
    </row>
    <row r="212" spans="1:20" x14ac:dyDescent="0.25">
      <c r="A212" s="5" t="s">
        <v>225</v>
      </c>
      <c r="B212" s="10">
        <v>45460</v>
      </c>
      <c r="C212" s="5" t="s">
        <v>1016</v>
      </c>
      <c r="D212" s="11" t="s">
        <v>1231</v>
      </c>
      <c r="E212" s="5" t="s">
        <v>2267</v>
      </c>
      <c r="F212" s="5">
        <v>49</v>
      </c>
      <c r="G212" s="5" t="str" cm="1">
        <f t="array" ref="G212">_xlfn.IFS(F212&lt;12,"Child",F212&lt;18,"Teen",F212&lt;25,"Young",F212&lt;40,"Adult",F212&lt;60,"Middle Age",F212&gt;=60,"Old")</f>
        <v>Middle Age</v>
      </c>
      <c r="H212" s="5" t="s">
        <v>2044</v>
      </c>
      <c r="I212" s="5" t="s">
        <v>2045</v>
      </c>
      <c r="J212" s="5" t="s">
        <v>2021</v>
      </c>
      <c r="K212" s="5" t="str">
        <f>VLOOKUP(J212,Sheet2!$A$1:$B$11,2,FALSE)</f>
        <v>Casual Wear</v>
      </c>
      <c r="L212" s="5">
        <v>2</v>
      </c>
      <c r="M212" s="6">
        <v>278</v>
      </c>
      <c r="N212" s="6">
        <v>556</v>
      </c>
      <c r="O212" s="7">
        <v>0.1</v>
      </c>
      <c r="P212" s="8">
        <f t="shared" si="6"/>
        <v>55.6</v>
      </c>
      <c r="Q212" s="9">
        <f t="shared" si="7"/>
        <v>500.4</v>
      </c>
      <c r="R212" s="5">
        <v>10</v>
      </c>
      <c r="S212" s="5" t="s">
        <v>2033</v>
      </c>
      <c r="T212" s="5" t="s">
        <v>2035</v>
      </c>
    </row>
    <row r="213" spans="1:20" x14ac:dyDescent="0.25">
      <c r="A213" s="5" t="s">
        <v>226</v>
      </c>
      <c r="B213" s="10">
        <v>45667</v>
      </c>
      <c r="C213" s="5" t="s">
        <v>1014</v>
      </c>
      <c r="D213" s="11" t="s">
        <v>1232</v>
      </c>
      <c r="E213" s="5" t="s">
        <v>2268</v>
      </c>
      <c r="F213" s="5">
        <v>22</v>
      </c>
      <c r="G213" s="5" t="str" cm="1">
        <f t="array" ref="G213">_xlfn.IFS(F213&lt;12,"Child",F213&lt;18,"Teen",F213&lt;25,"Young",F213&lt;40,"Adult",F213&lt;60,"Middle Age",F213&gt;=60,"Old")</f>
        <v>Young</v>
      </c>
      <c r="H213" s="5" t="s">
        <v>2043</v>
      </c>
      <c r="I213" s="5" t="s">
        <v>2052</v>
      </c>
      <c r="J213" s="5" t="s">
        <v>2022</v>
      </c>
      <c r="K213" s="5" t="str">
        <f>VLOOKUP(J213,Sheet2!$A$1:$B$11,2,FALSE)</f>
        <v>Sportswear</v>
      </c>
      <c r="L213" s="5">
        <v>4</v>
      </c>
      <c r="M213" s="6">
        <v>997</v>
      </c>
      <c r="N213" s="6">
        <v>3988</v>
      </c>
      <c r="O213" s="7">
        <v>0.05</v>
      </c>
      <c r="P213" s="8">
        <f t="shared" si="6"/>
        <v>199.4</v>
      </c>
      <c r="Q213" s="9">
        <f t="shared" si="7"/>
        <v>3788.6</v>
      </c>
      <c r="R213" s="5">
        <v>75</v>
      </c>
      <c r="S213" s="5" t="s">
        <v>2032</v>
      </c>
      <c r="T213" s="5" t="s">
        <v>2035</v>
      </c>
    </row>
    <row r="214" spans="1:20" x14ac:dyDescent="0.25">
      <c r="A214" s="5" t="s">
        <v>227</v>
      </c>
      <c r="B214" s="10">
        <v>45515</v>
      </c>
      <c r="C214" s="5" t="s">
        <v>1015</v>
      </c>
      <c r="D214" s="11" t="s">
        <v>1233</v>
      </c>
      <c r="E214" s="5" t="s">
        <v>2269</v>
      </c>
      <c r="F214" s="5">
        <v>27</v>
      </c>
      <c r="G214" s="5" t="str" cm="1">
        <f t="array" ref="G214">_xlfn.IFS(F214&lt;12,"Child",F214&lt;18,"Teen",F214&lt;25,"Young",F214&lt;40,"Adult",F214&lt;60,"Middle Age",F214&gt;=60,"Old")</f>
        <v>Adult</v>
      </c>
      <c r="H214" s="5" t="s">
        <v>2044</v>
      </c>
      <c r="I214" s="5" t="s">
        <v>2048</v>
      </c>
      <c r="J214" s="5" t="s">
        <v>2021</v>
      </c>
      <c r="K214" s="5" t="str">
        <f>VLOOKUP(J214,Sheet2!$A$1:$B$11,2,FALSE)</f>
        <v>Casual Wear</v>
      </c>
      <c r="L214" s="5">
        <v>5</v>
      </c>
      <c r="M214" s="6">
        <v>1146</v>
      </c>
      <c r="N214" s="6">
        <v>5730</v>
      </c>
      <c r="O214" s="7">
        <v>0.05</v>
      </c>
      <c r="P214" s="8">
        <f t="shared" si="6"/>
        <v>286.5</v>
      </c>
      <c r="Q214" s="9">
        <f t="shared" si="7"/>
        <v>5443.5</v>
      </c>
      <c r="R214" s="5">
        <v>108</v>
      </c>
      <c r="S214" s="5" t="s">
        <v>2033</v>
      </c>
      <c r="T214" s="5" t="s">
        <v>2036</v>
      </c>
    </row>
    <row r="215" spans="1:20" x14ac:dyDescent="0.25">
      <c r="A215" s="5" t="s">
        <v>228</v>
      </c>
      <c r="B215" s="10">
        <v>45559</v>
      </c>
      <c r="C215" s="5" t="s">
        <v>1019</v>
      </c>
      <c r="D215" s="11" t="s">
        <v>1234</v>
      </c>
      <c r="E215" s="5" t="s">
        <v>2270</v>
      </c>
      <c r="F215" s="5">
        <v>22</v>
      </c>
      <c r="G215" s="5" t="str" cm="1">
        <f t="array" ref="G215">_xlfn.IFS(F215&lt;12,"Child",F215&lt;18,"Teen",F215&lt;25,"Young",F215&lt;40,"Adult",F215&lt;60,"Middle Age",F215&gt;=60,"Old")</f>
        <v>Young</v>
      </c>
      <c r="H215" s="5" t="s">
        <v>2044</v>
      </c>
      <c r="I215" s="5" t="s">
        <v>2050</v>
      </c>
      <c r="J215" s="5" t="s">
        <v>2020</v>
      </c>
      <c r="K215" s="5" t="str">
        <f>VLOOKUP(J215,Sheet2!$A$1:$B$11,2,FALSE)</f>
        <v>Summer Wear</v>
      </c>
      <c r="L215" s="5">
        <v>1</v>
      </c>
      <c r="M215" s="6">
        <v>1028</v>
      </c>
      <c r="N215" s="6">
        <v>1028</v>
      </c>
      <c r="O215" s="7">
        <v>0.05</v>
      </c>
      <c r="P215" s="8">
        <f t="shared" si="6"/>
        <v>51.400000000000006</v>
      </c>
      <c r="Q215" s="9">
        <f t="shared" si="7"/>
        <v>976.6</v>
      </c>
      <c r="R215" s="5">
        <v>19</v>
      </c>
      <c r="S215" s="5" t="s">
        <v>2033</v>
      </c>
      <c r="T215" s="5" t="s">
        <v>2036</v>
      </c>
    </row>
    <row r="216" spans="1:20" x14ac:dyDescent="0.25">
      <c r="A216" s="5" t="s">
        <v>229</v>
      </c>
      <c r="B216" s="10">
        <v>45384</v>
      </c>
      <c r="C216" s="5" t="s">
        <v>1019</v>
      </c>
      <c r="D216" s="11" t="s">
        <v>1235</v>
      </c>
      <c r="E216" s="5" t="s">
        <v>2271</v>
      </c>
      <c r="F216" s="5">
        <v>19</v>
      </c>
      <c r="G216" s="5" t="str" cm="1">
        <f t="array" ref="G216">_xlfn.IFS(F216&lt;12,"Child",F216&lt;18,"Teen",F216&lt;25,"Young",F216&lt;40,"Adult",F216&lt;60,"Middle Age",F216&gt;=60,"Old")</f>
        <v>Young</v>
      </c>
      <c r="H216" s="5" t="s">
        <v>2044</v>
      </c>
      <c r="I216" s="5" t="s">
        <v>2050</v>
      </c>
      <c r="J216" s="5" t="s">
        <v>2022</v>
      </c>
      <c r="K216" s="5" t="str">
        <f>VLOOKUP(J216,Sheet2!$A$1:$B$11,2,FALSE)</f>
        <v>Sportswear</v>
      </c>
      <c r="L216" s="5">
        <v>2</v>
      </c>
      <c r="M216" s="6">
        <v>1047</v>
      </c>
      <c r="N216" s="6">
        <v>2094</v>
      </c>
      <c r="O216" s="7">
        <v>0.05</v>
      </c>
      <c r="P216" s="8">
        <f t="shared" si="6"/>
        <v>104.7</v>
      </c>
      <c r="Q216" s="9">
        <f t="shared" si="7"/>
        <v>1989.3</v>
      </c>
      <c r="R216" s="5">
        <v>39</v>
      </c>
      <c r="S216" s="5" t="s">
        <v>2034</v>
      </c>
      <c r="T216" s="5" t="s">
        <v>2037</v>
      </c>
    </row>
    <row r="217" spans="1:20" x14ac:dyDescent="0.25">
      <c r="A217" s="5" t="s">
        <v>230</v>
      </c>
      <c r="B217" s="10">
        <v>45422</v>
      </c>
      <c r="C217" s="5" t="s">
        <v>1014</v>
      </c>
      <c r="D217" s="11" t="s">
        <v>1236</v>
      </c>
      <c r="E217" s="5" t="s">
        <v>2272</v>
      </c>
      <c r="F217" s="5">
        <v>24</v>
      </c>
      <c r="G217" s="5" t="str" cm="1">
        <f t="array" ref="G217">_xlfn.IFS(F217&lt;12,"Child",F217&lt;18,"Teen",F217&lt;25,"Young",F217&lt;40,"Adult",F217&lt;60,"Middle Age",F217&gt;=60,"Old")</f>
        <v>Young</v>
      </c>
      <c r="H217" s="5" t="s">
        <v>2043</v>
      </c>
      <c r="I217" s="5" t="s">
        <v>2046</v>
      </c>
      <c r="J217" s="5" t="s">
        <v>2020</v>
      </c>
      <c r="K217" s="5" t="str">
        <f>VLOOKUP(J217,Sheet2!$A$1:$B$11,2,FALSE)</f>
        <v>Summer Wear</v>
      </c>
      <c r="L217" s="5">
        <v>3</v>
      </c>
      <c r="M217" s="6">
        <v>435</v>
      </c>
      <c r="N217" s="6">
        <v>1305</v>
      </c>
      <c r="O217" s="7">
        <v>0.05</v>
      </c>
      <c r="P217" s="8">
        <f t="shared" si="6"/>
        <v>65.25</v>
      </c>
      <c r="Q217" s="9">
        <f t="shared" si="7"/>
        <v>1239.75</v>
      </c>
      <c r="R217" s="5">
        <v>24</v>
      </c>
      <c r="S217" s="5" t="s">
        <v>2032</v>
      </c>
      <c r="T217" s="5" t="s">
        <v>2036</v>
      </c>
    </row>
    <row r="218" spans="1:20" x14ac:dyDescent="0.25">
      <c r="A218" s="5" t="s">
        <v>231</v>
      </c>
      <c r="B218" s="10">
        <v>45623</v>
      </c>
      <c r="C218" s="5" t="s">
        <v>1017</v>
      </c>
      <c r="D218" s="11" t="s">
        <v>1237</v>
      </c>
      <c r="E218" s="5" t="s">
        <v>2273</v>
      </c>
      <c r="F218" s="5">
        <v>38</v>
      </c>
      <c r="G218" s="5" t="str" cm="1">
        <f t="array" ref="G218">_xlfn.IFS(F218&lt;12,"Child",F218&lt;18,"Teen",F218&lt;25,"Young",F218&lt;40,"Adult",F218&lt;60,"Middle Age",F218&gt;=60,"Old")</f>
        <v>Adult</v>
      </c>
      <c r="H218" s="5" t="s">
        <v>2044</v>
      </c>
      <c r="I218" s="5" t="s">
        <v>2015</v>
      </c>
      <c r="J218" s="5" t="s">
        <v>2022</v>
      </c>
      <c r="K218" s="5" t="str">
        <f>VLOOKUP(J218,Sheet2!$A$1:$B$11,2,FALSE)</f>
        <v>Sportswear</v>
      </c>
      <c r="L218" s="5">
        <v>4</v>
      </c>
      <c r="M218" s="6">
        <v>1091</v>
      </c>
      <c r="N218" s="6">
        <v>4364</v>
      </c>
      <c r="O218" s="7">
        <v>0</v>
      </c>
      <c r="P218" s="8">
        <f t="shared" si="6"/>
        <v>0</v>
      </c>
      <c r="Q218" s="9">
        <f t="shared" si="7"/>
        <v>4364</v>
      </c>
      <c r="R218" s="5">
        <v>87</v>
      </c>
      <c r="S218" s="5" t="s">
        <v>2033</v>
      </c>
      <c r="T218" s="5" t="s">
        <v>2037</v>
      </c>
    </row>
    <row r="219" spans="1:20" x14ac:dyDescent="0.25">
      <c r="A219" s="5" t="s">
        <v>232</v>
      </c>
      <c r="B219" s="10">
        <v>45704</v>
      </c>
      <c r="C219" s="5" t="s">
        <v>1015</v>
      </c>
      <c r="D219" s="11" t="s">
        <v>1238</v>
      </c>
      <c r="E219" s="5" t="s">
        <v>2274</v>
      </c>
      <c r="F219" s="5">
        <v>19</v>
      </c>
      <c r="G219" s="5" t="str" cm="1">
        <f t="array" ref="G219">_xlfn.IFS(F219&lt;12,"Child",F219&lt;18,"Teen",F219&lt;25,"Young",F219&lt;40,"Adult",F219&lt;60,"Middle Age",F219&gt;=60,"Old")</f>
        <v>Young</v>
      </c>
      <c r="H219" s="5" t="s">
        <v>2043</v>
      </c>
      <c r="I219" s="5" t="s">
        <v>2046</v>
      </c>
      <c r="J219" s="5" t="s">
        <v>2024</v>
      </c>
      <c r="K219" s="5" t="str">
        <f>VLOOKUP(J219,Sheet2!$A$1:$B$11,2,FALSE)</f>
        <v>Fashion Accessories</v>
      </c>
      <c r="L219" s="5">
        <v>4</v>
      </c>
      <c r="M219" s="6">
        <v>1181</v>
      </c>
      <c r="N219" s="6">
        <v>4724</v>
      </c>
      <c r="O219" s="7">
        <v>0.05</v>
      </c>
      <c r="P219" s="8">
        <f t="shared" si="6"/>
        <v>236.20000000000002</v>
      </c>
      <c r="Q219" s="9">
        <f t="shared" si="7"/>
        <v>4487.8</v>
      </c>
      <c r="R219" s="5">
        <v>89</v>
      </c>
      <c r="S219" s="5" t="s">
        <v>2033</v>
      </c>
      <c r="T219" s="5" t="s">
        <v>2037</v>
      </c>
    </row>
    <row r="220" spans="1:20" x14ac:dyDescent="0.25">
      <c r="A220" s="5" t="s">
        <v>233</v>
      </c>
      <c r="B220" s="10">
        <v>45645</v>
      </c>
      <c r="C220" s="5" t="s">
        <v>1018</v>
      </c>
      <c r="D220" s="11" t="s">
        <v>1239</v>
      </c>
      <c r="E220" s="5" t="s">
        <v>2275</v>
      </c>
      <c r="F220" s="5">
        <v>40</v>
      </c>
      <c r="G220" s="5" t="str" cm="1">
        <f t="array" ref="G220">_xlfn.IFS(F220&lt;12,"Child",F220&lt;18,"Teen",F220&lt;25,"Young",F220&lt;40,"Adult",F220&lt;60,"Middle Age",F220&gt;=60,"Old")</f>
        <v>Middle Age</v>
      </c>
      <c r="H220" s="5" t="s">
        <v>2043</v>
      </c>
      <c r="I220" s="5" t="s">
        <v>2045</v>
      </c>
      <c r="J220" s="5" t="s">
        <v>2019</v>
      </c>
      <c r="K220" s="5" t="str">
        <f>VLOOKUP(J220,Sheet2!$A$1:$B$11,2,FALSE)</f>
        <v>Formal Wear</v>
      </c>
      <c r="L220" s="5">
        <v>4</v>
      </c>
      <c r="M220" s="6">
        <v>963</v>
      </c>
      <c r="N220" s="6">
        <v>3852</v>
      </c>
      <c r="O220" s="7">
        <v>0</v>
      </c>
      <c r="P220" s="8">
        <f t="shared" si="6"/>
        <v>0</v>
      </c>
      <c r="Q220" s="9">
        <f t="shared" si="7"/>
        <v>3852</v>
      </c>
      <c r="R220" s="5">
        <v>77</v>
      </c>
      <c r="S220" s="5" t="s">
        <v>2032</v>
      </c>
      <c r="T220" s="5" t="s">
        <v>2035</v>
      </c>
    </row>
    <row r="221" spans="1:20" x14ac:dyDescent="0.25">
      <c r="A221" s="5" t="s">
        <v>234</v>
      </c>
      <c r="B221" s="10">
        <v>45508</v>
      </c>
      <c r="C221" s="5" t="s">
        <v>1015</v>
      </c>
      <c r="D221" s="11" t="s">
        <v>1240</v>
      </c>
      <c r="E221" s="5" t="s">
        <v>2276</v>
      </c>
      <c r="F221" s="5">
        <v>47</v>
      </c>
      <c r="G221" s="5" t="str" cm="1">
        <f t="array" ref="G221">_xlfn.IFS(F221&lt;12,"Child",F221&lt;18,"Teen",F221&lt;25,"Young",F221&lt;40,"Adult",F221&lt;60,"Middle Age",F221&gt;=60,"Old")</f>
        <v>Middle Age</v>
      </c>
      <c r="H221" s="5" t="s">
        <v>2044</v>
      </c>
      <c r="I221" s="5" t="s">
        <v>2045</v>
      </c>
      <c r="J221" s="5" t="s">
        <v>2024</v>
      </c>
      <c r="K221" s="5" t="str">
        <f>VLOOKUP(J221,Sheet2!$A$1:$B$11,2,FALSE)</f>
        <v>Fashion Accessories</v>
      </c>
      <c r="L221" s="5">
        <v>2</v>
      </c>
      <c r="M221" s="6">
        <v>1167</v>
      </c>
      <c r="N221" s="6">
        <v>2334</v>
      </c>
      <c r="O221" s="7">
        <v>0.1</v>
      </c>
      <c r="P221" s="8">
        <f t="shared" si="6"/>
        <v>233.4</v>
      </c>
      <c r="Q221" s="9">
        <f t="shared" si="7"/>
        <v>2100.6</v>
      </c>
      <c r="R221" s="5">
        <v>42</v>
      </c>
      <c r="S221" s="5" t="s">
        <v>2032</v>
      </c>
      <c r="T221" s="5" t="s">
        <v>2037</v>
      </c>
    </row>
    <row r="222" spans="1:20" x14ac:dyDescent="0.25">
      <c r="A222" s="5" t="s">
        <v>235</v>
      </c>
      <c r="B222" s="10">
        <v>45565</v>
      </c>
      <c r="C222" s="5" t="s">
        <v>1016</v>
      </c>
      <c r="D222" s="11" t="s">
        <v>1241</v>
      </c>
      <c r="E222" s="5" t="s">
        <v>2277</v>
      </c>
      <c r="F222" s="5">
        <v>26</v>
      </c>
      <c r="G222" s="5" t="str" cm="1">
        <f t="array" ref="G222">_xlfn.IFS(F222&lt;12,"Child",F222&lt;18,"Teen",F222&lt;25,"Young",F222&lt;40,"Adult",F222&lt;60,"Middle Age",F222&gt;=60,"Old")</f>
        <v>Adult</v>
      </c>
      <c r="H222" s="5" t="s">
        <v>2043</v>
      </c>
      <c r="I222" s="5" t="s">
        <v>2050</v>
      </c>
      <c r="J222" s="5" t="s">
        <v>2023</v>
      </c>
      <c r="K222" s="5" t="str">
        <f>VLOOKUP(J222,Sheet2!$A$1:$B$11,2,FALSE)</f>
        <v>Formal Wear</v>
      </c>
      <c r="L222" s="5">
        <v>2</v>
      </c>
      <c r="M222" s="6">
        <v>788</v>
      </c>
      <c r="N222" s="6">
        <v>1576</v>
      </c>
      <c r="O222" s="7">
        <v>0</v>
      </c>
      <c r="P222" s="8">
        <f t="shared" si="6"/>
        <v>0</v>
      </c>
      <c r="Q222" s="9">
        <f t="shared" si="7"/>
        <v>1576</v>
      </c>
      <c r="R222" s="5">
        <v>31</v>
      </c>
      <c r="S222" s="5" t="s">
        <v>2033</v>
      </c>
      <c r="T222" s="5" t="s">
        <v>2035</v>
      </c>
    </row>
    <row r="223" spans="1:20" x14ac:dyDescent="0.25">
      <c r="A223" s="5" t="s">
        <v>236</v>
      </c>
      <c r="B223" s="10">
        <v>45577</v>
      </c>
      <c r="C223" s="5" t="s">
        <v>1020</v>
      </c>
      <c r="D223" s="11" t="s">
        <v>1242</v>
      </c>
      <c r="E223" s="5" t="s">
        <v>2278</v>
      </c>
      <c r="F223" s="5">
        <v>39</v>
      </c>
      <c r="G223" s="5" t="str" cm="1">
        <f t="array" ref="G223">_xlfn.IFS(F223&lt;12,"Child",F223&lt;18,"Teen",F223&lt;25,"Young",F223&lt;40,"Adult",F223&lt;60,"Middle Age",F223&gt;=60,"Old")</f>
        <v>Adult</v>
      </c>
      <c r="H223" s="5" t="s">
        <v>2043</v>
      </c>
      <c r="I223" s="5" t="s">
        <v>2053</v>
      </c>
      <c r="J223" s="5" t="s">
        <v>2022</v>
      </c>
      <c r="K223" s="5" t="str">
        <f>VLOOKUP(J223,Sheet2!$A$1:$B$11,2,FALSE)</f>
        <v>Sportswear</v>
      </c>
      <c r="L223" s="5">
        <v>3</v>
      </c>
      <c r="M223" s="6">
        <v>192</v>
      </c>
      <c r="N223" s="6">
        <v>576</v>
      </c>
      <c r="O223" s="7">
        <v>0.1</v>
      </c>
      <c r="P223" s="8">
        <f t="shared" si="6"/>
        <v>57.6</v>
      </c>
      <c r="Q223" s="9">
        <f t="shared" si="7"/>
        <v>518.4</v>
      </c>
      <c r="R223" s="5">
        <v>10</v>
      </c>
      <c r="S223" s="5" t="s">
        <v>2032</v>
      </c>
      <c r="T223" s="5" t="s">
        <v>2035</v>
      </c>
    </row>
    <row r="224" spans="1:20" x14ac:dyDescent="0.25">
      <c r="A224" s="5" t="s">
        <v>237</v>
      </c>
      <c r="B224" s="10">
        <v>45380</v>
      </c>
      <c r="C224" s="5" t="s">
        <v>1014</v>
      </c>
      <c r="D224" s="11" t="s">
        <v>1243</v>
      </c>
      <c r="E224" s="5" t="s">
        <v>2279</v>
      </c>
      <c r="F224" s="5">
        <v>25</v>
      </c>
      <c r="G224" s="5" t="str" cm="1">
        <f t="array" ref="G224">_xlfn.IFS(F224&lt;12,"Child",F224&lt;18,"Teen",F224&lt;25,"Young",F224&lt;40,"Adult",F224&lt;60,"Middle Age",F224&gt;=60,"Old")</f>
        <v>Adult</v>
      </c>
      <c r="H224" s="5" t="s">
        <v>2044</v>
      </c>
      <c r="I224" s="5" t="s">
        <v>2050</v>
      </c>
      <c r="J224" s="5" t="s">
        <v>2017</v>
      </c>
      <c r="K224" s="5" t="str">
        <f>VLOOKUP(J224,Sheet2!$A$1:$B$11,2,FALSE)</f>
        <v>Casual Wear</v>
      </c>
      <c r="L224" s="5">
        <v>2</v>
      </c>
      <c r="M224" s="6">
        <v>788</v>
      </c>
      <c r="N224" s="6">
        <v>1576</v>
      </c>
      <c r="O224" s="7">
        <v>0.05</v>
      </c>
      <c r="P224" s="8">
        <f t="shared" si="6"/>
        <v>78.800000000000011</v>
      </c>
      <c r="Q224" s="9">
        <f t="shared" si="7"/>
        <v>1497.2</v>
      </c>
      <c r="R224" s="5">
        <v>29</v>
      </c>
      <c r="S224" s="5" t="s">
        <v>2033</v>
      </c>
      <c r="T224" s="5" t="s">
        <v>2036</v>
      </c>
    </row>
    <row r="225" spans="1:20" x14ac:dyDescent="0.25">
      <c r="A225" s="5" t="s">
        <v>238</v>
      </c>
      <c r="B225" s="10">
        <v>45467</v>
      </c>
      <c r="C225" s="5" t="s">
        <v>1016</v>
      </c>
      <c r="D225" s="11" t="s">
        <v>1244</v>
      </c>
      <c r="E225" s="5" t="s">
        <v>2280</v>
      </c>
      <c r="F225" s="5">
        <v>58</v>
      </c>
      <c r="G225" s="5" t="str" cm="1">
        <f t="array" ref="G225">_xlfn.IFS(F225&lt;12,"Child",F225&lt;18,"Teen",F225&lt;25,"Young",F225&lt;40,"Adult",F225&lt;60,"Middle Age",F225&gt;=60,"Old")</f>
        <v>Middle Age</v>
      </c>
      <c r="H225" s="5" t="s">
        <v>2044</v>
      </c>
      <c r="I225" s="5" t="s">
        <v>2015</v>
      </c>
      <c r="J225" s="5" t="s">
        <v>2025</v>
      </c>
      <c r="K225" s="5" t="str">
        <f>VLOOKUP(J225,Sheet2!$A$1:$B$11,2,FALSE)</f>
        <v>Formal Wear</v>
      </c>
      <c r="L225" s="5">
        <v>3</v>
      </c>
      <c r="M225" s="6">
        <v>334</v>
      </c>
      <c r="N225" s="6">
        <v>1002</v>
      </c>
      <c r="O225" s="7">
        <v>0.15</v>
      </c>
      <c r="P225" s="8">
        <f t="shared" si="6"/>
        <v>150.29999999999998</v>
      </c>
      <c r="Q225" s="9">
        <f t="shared" si="7"/>
        <v>851.7</v>
      </c>
      <c r="R225" s="5">
        <v>17</v>
      </c>
      <c r="S225" s="5" t="s">
        <v>2033</v>
      </c>
      <c r="T225" s="5" t="s">
        <v>2035</v>
      </c>
    </row>
    <row r="226" spans="1:20" x14ac:dyDescent="0.25">
      <c r="A226" s="5" t="s">
        <v>239</v>
      </c>
      <c r="B226" s="10">
        <v>45539</v>
      </c>
      <c r="C226" s="5" t="s">
        <v>1017</v>
      </c>
      <c r="D226" s="11" t="s">
        <v>1245</v>
      </c>
      <c r="E226" s="5" t="s">
        <v>2281</v>
      </c>
      <c r="F226" s="5">
        <v>54</v>
      </c>
      <c r="G226" s="5" t="str" cm="1">
        <f t="array" ref="G226">_xlfn.IFS(F226&lt;12,"Child",F226&lt;18,"Teen",F226&lt;25,"Young",F226&lt;40,"Adult",F226&lt;60,"Middle Age",F226&gt;=60,"Old")</f>
        <v>Middle Age</v>
      </c>
      <c r="H226" s="5" t="s">
        <v>2044</v>
      </c>
      <c r="I226" s="5" t="s">
        <v>2015</v>
      </c>
      <c r="J226" s="5" t="s">
        <v>2025</v>
      </c>
      <c r="K226" s="5" t="str">
        <f>VLOOKUP(J226,Sheet2!$A$1:$B$11,2,FALSE)</f>
        <v>Formal Wear</v>
      </c>
      <c r="L226" s="5">
        <v>2</v>
      </c>
      <c r="M226" s="6">
        <v>579</v>
      </c>
      <c r="N226" s="6">
        <v>1158</v>
      </c>
      <c r="O226" s="7">
        <v>0.15</v>
      </c>
      <c r="P226" s="8">
        <f t="shared" si="6"/>
        <v>173.7</v>
      </c>
      <c r="Q226" s="9">
        <f t="shared" si="7"/>
        <v>984.3</v>
      </c>
      <c r="R226" s="5">
        <v>19</v>
      </c>
      <c r="S226" s="5" t="s">
        <v>2033</v>
      </c>
      <c r="T226" s="5" t="s">
        <v>2035</v>
      </c>
    </row>
    <row r="227" spans="1:20" x14ac:dyDescent="0.25">
      <c r="A227" s="5" t="s">
        <v>240</v>
      </c>
      <c r="B227" s="10">
        <v>45567</v>
      </c>
      <c r="C227" s="5" t="s">
        <v>1017</v>
      </c>
      <c r="D227" s="11" t="s">
        <v>1246</v>
      </c>
      <c r="E227" s="5" t="s">
        <v>2282</v>
      </c>
      <c r="F227" s="5">
        <v>48</v>
      </c>
      <c r="G227" s="5" t="str" cm="1">
        <f t="array" ref="G227">_xlfn.IFS(F227&lt;12,"Child",F227&lt;18,"Teen",F227&lt;25,"Young",F227&lt;40,"Adult",F227&lt;60,"Middle Age",F227&gt;=60,"Old")</f>
        <v>Middle Age</v>
      </c>
      <c r="H227" s="5" t="s">
        <v>2044</v>
      </c>
      <c r="I227" s="5" t="s">
        <v>2015</v>
      </c>
      <c r="J227" s="5" t="s">
        <v>2016</v>
      </c>
      <c r="K227" s="5" t="str">
        <f>VLOOKUP(J227,Sheet2!$A$1:$B$11,2,FALSE)</f>
        <v>Winter Wear</v>
      </c>
      <c r="L227" s="5">
        <v>1</v>
      </c>
      <c r="M227" s="6">
        <v>346</v>
      </c>
      <c r="N227" s="6">
        <v>346</v>
      </c>
      <c r="O227" s="7">
        <v>0.05</v>
      </c>
      <c r="P227" s="8">
        <f t="shared" si="6"/>
        <v>17.3</v>
      </c>
      <c r="Q227" s="9">
        <f t="shared" si="7"/>
        <v>328.7</v>
      </c>
      <c r="R227" s="5">
        <v>6</v>
      </c>
      <c r="S227" s="5" t="s">
        <v>2033</v>
      </c>
      <c r="T227" s="5" t="s">
        <v>2036</v>
      </c>
    </row>
    <row r="228" spans="1:20" x14ac:dyDescent="0.25">
      <c r="A228" s="5" t="s">
        <v>241</v>
      </c>
      <c r="B228" s="10">
        <v>45437</v>
      </c>
      <c r="C228" s="5" t="s">
        <v>1020</v>
      </c>
      <c r="D228" s="11" t="s">
        <v>1247</v>
      </c>
      <c r="E228" s="5" t="s">
        <v>2283</v>
      </c>
      <c r="F228" s="5">
        <v>19</v>
      </c>
      <c r="G228" s="5" t="str" cm="1">
        <f t="array" ref="G228">_xlfn.IFS(F228&lt;12,"Child",F228&lt;18,"Teen",F228&lt;25,"Young",F228&lt;40,"Adult",F228&lt;60,"Middle Age",F228&gt;=60,"Old")</f>
        <v>Young</v>
      </c>
      <c r="H228" s="5" t="s">
        <v>2044</v>
      </c>
      <c r="I228" s="5" t="s">
        <v>2045</v>
      </c>
      <c r="J228" s="5" t="s">
        <v>2025</v>
      </c>
      <c r="K228" s="5" t="str">
        <f>VLOOKUP(J228,Sheet2!$A$1:$B$11,2,FALSE)</f>
        <v>Formal Wear</v>
      </c>
      <c r="L228" s="5">
        <v>3</v>
      </c>
      <c r="M228" s="6">
        <v>711</v>
      </c>
      <c r="N228" s="6">
        <v>2133</v>
      </c>
      <c r="O228" s="7">
        <v>0.05</v>
      </c>
      <c r="P228" s="8">
        <f t="shared" si="6"/>
        <v>106.65</v>
      </c>
      <c r="Q228" s="9">
        <f t="shared" si="7"/>
        <v>2026.35</v>
      </c>
      <c r="R228" s="5">
        <v>40</v>
      </c>
      <c r="S228" s="5" t="s">
        <v>2033</v>
      </c>
      <c r="T228" s="5" t="s">
        <v>2035</v>
      </c>
    </row>
    <row r="229" spans="1:20" x14ac:dyDescent="0.25">
      <c r="A229" s="5" t="s">
        <v>242</v>
      </c>
      <c r="B229" s="10">
        <v>45437</v>
      </c>
      <c r="C229" s="5" t="s">
        <v>1020</v>
      </c>
      <c r="D229" s="11" t="s">
        <v>1248</v>
      </c>
      <c r="E229" s="5" t="s">
        <v>2284</v>
      </c>
      <c r="F229" s="5">
        <v>56</v>
      </c>
      <c r="G229" s="5" t="str" cm="1">
        <f t="array" ref="G229">_xlfn.IFS(F229&lt;12,"Child",F229&lt;18,"Teen",F229&lt;25,"Young",F229&lt;40,"Adult",F229&lt;60,"Middle Age",F229&gt;=60,"Old")</f>
        <v>Middle Age</v>
      </c>
      <c r="H229" s="5" t="s">
        <v>2044</v>
      </c>
      <c r="I229" s="5" t="s">
        <v>2053</v>
      </c>
      <c r="J229" s="5" t="s">
        <v>2020</v>
      </c>
      <c r="K229" s="5" t="str">
        <f>VLOOKUP(J229,Sheet2!$A$1:$B$11,2,FALSE)</f>
        <v>Summer Wear</v>
      </c>
      <c r="L229" s="5">
        <v>4</v>
      </c>
      <c r="M229" s="6">
        <v>591</v>
      </c>
      <c r="N229" s="6">
        <v>2364</v>
      </c>
      <c r="O229" s="7">
        <v>0.1</v>
      </c>
      <c r="P229" s="8">
        <f t="shared" si="6"/>
        <v>236.4</v>
      </c>
      <c r="Q229" s="9">
        <f t="shared" si="7"/>
        <v>2127.6</v>
      </c>
      <c r="R229" s="5">
        <v>42</v>
      </c>
      <c r="S229" s="5" t="s">
        <v>2032</v>
      </c>
      <c r="T229" s="5" t="s">
        <v>2036</v>
      </c>
    </row>
    <row r="230" spans="1:20" x14ac:dyDescent="0.25">
      <c r="A230" s="5" t="s">
        <v>243</v>
      </c>
      <c r="B230" s="10">
        <v>45415</v>
      </c>
      <c r="C230" s="5" t="s">
        <v>1014</v>
      </c>
      <c r="D230" s="11" t="s">
        <v>1249</v>
      </c>
      <c r="E230" s="5" t="s">
        <v>2285</v>
      </c>
      <c r="F230" s="5">
        <v>56</v>
      </c>
      <c r="G230" s="5" t="str" cm="1">
        <f t="array" ref="G230">_xlfn.IFS(F230&lt;12,"Child",F230&lt;18,"Teen",F230&lt;25,"Young",F230&lt;40,"Adult",F230&lt;60,"Middle Age",F230&gt;=60,"Old")</f>
        <v>Middle Age</v>
      </c>
      <c r="H230" s="5" t="s">
        <v>2044</v>
      </c>
      <c r="I230" s="5" t="s">
        <v>2048</v>
      </c>
      <c r="J230" s="5" t="s">
        <v>2023</v>
      </c>
      <c r="K230" s="5" t="str">
        <f>VLOOKUP(J230,Sheet2!$A$1:$B$11,2,FALSE)</f>
        <v>Formal Wear</v>
      </c>
      <c r="L230" s="5">
        <v>2</v>
      </c>
      <c r="M230" s="6">
        <v>302</v>
      </c>
      <c r="N230" s="6">
        <v>604</v>
      </c>
      <c r="O230" s="7">
        <v>0.05</v>
      </c>
      <c r="P230" s="8">
        <f t="shared" si="6"/>
        <v>30.200000000000003</v>
      </c>
      <c r="Q230" s="9">
        <f t="shared" si="7"/>
        <v>573.79999999999995</v>
      </c>
      <c r="R230" s="5">
        <v>11</v>
      </c>
      <c r="S230" s="5" t="s">
        <v>2033</v>
      </c>
      <c r="T230" s="5" t="s">
        <v>2035</v>
      </c>
    </row>
    <row r="231" spans="1:20" x14ac:dyDescent="0.25">
      <c r="A231" s="5" t="s">
        <v>244</v>
      </c>
      <c r="B231" s="10">
        <v>45611</v>
      </c>
      <c r="C231" s="5" t="s">
        <v>1014</v>
      </c>
      <c r="D231" s="11" t="s">
        <v>1250</v>
      </c>
      <c r="E231" s="5" t="s">
        <v>2286</v>
      </c>
      <c r="F231" s="5">
        <v>52</v>
      </c>
      <c r="G231" s="5" t="str" cm="1">
        <f t="array" ref="G231">_xlfn.IFS(F231&lt;12,"Child",F231&lt;18,"Teen",F231&lt;25,"Young",F231&lt;40,"Adult",F231&lt;60,"Middle Age",F231&gt;=60,"Old")</f>
        <v>Middle Age</v>
      </c>
      <c r="H231" s="5" t="s">
        <v>2043</v>
      </c>
      <c r="I231" s="5" t="s">
        <v>2046</v>
      </c>
      <c r="J231" s="5" t="s">
        <v>2016</v>
      </c>
      <c r="K231" s="5" t="str">
        <f>VLOOKUP(J231,Sheet2!$A$1:$B$11,2,FALSE)</f>
        <v>Winter Wear</v>
      </c>
      <c r="L231" s="5">
        <v>5</v>
      </c>
      <c r="M231" s="6">
        <v>858</v>
      </c>
      <c r="N231" s="6">
        <v>4290</v>
      </c>
      <c r="O231" s="7">
        <v>0.1</v>
      </c>
      <c r="P231" s="8">
        <f t="shared" si="6"/>
        <v>429</v>
      </c>
      <c r="Q231" s="9">
        <f t="shared" si="7"/>
        <v>3861</v>
      </c>
      <c r="R231" s="5">
        <v>77</v>
      </c>
      <c r="S231" s="5" t="s">
        <v>2033</v>
      </c>
      <c r="T231" s="5" t="s">
        <v>2036</v>
      </c>
    </row>
    <row r="232" spans="1:20" x14ac:dyDescent="0.25">
      <c r="A232" s="5" t="s">
        <v>245</v>
      </c>
      <c r="B232" s="10">
        <v>45615</v>
      </c>
      <c r="C232" s="5" t="s">
        <v>1019</v>
      </c>
      <c r="D232" s="11" t="s">
        <v>1251</v>
      </c>
      <c r="E232" s="5" t="s">
        <v>2287</v>
      </c>
      <c r="F232" s="5">
        <v>37</v>
      </c>
      <c r="G232" s="5" t="str" cm="1">
        <f t="array" ref="G232">_xlfn.IFS(F232&lt;12,"Child",F232&lt;18,"Teen",F232&lt;25,"Young",F232&lt;40,"Adult",F232&lt;60,"Middle Age",F232&gt;=60,"Old")</f>
        <v>Adult</v>
      </c>
      <c r="H232" s="5" t="s">
        <v>2043</v>
      </c>
      <c r="I232" s="5" t="s">
        <v>2048</v>
      </c>
      <c r="J232" s="5" t="s">
        <v>2019</v>
      </c>
      <c r="K232" s="5" t="str">
        <f>VLOOKUP(J232,Sheet2!$A$1:$B$11,2,FALSE)</f>
        <v>Formal Wear</v>
      </c>
      <c r="L232" s="5">
        <v>2</v>
      </c>
      <c r="M232" s="6">
        <v>394</v>
      </c>
      <c r="N232" s="6">
        <v>788</v>
      </c>
      <c r="O232" s="7">
        <v>0.1</v>
      </c>
      <c r="P232" s="8">
        <f t="shared" si="6"/>
        <v>78.800000000000011</v>
      </c>
      <c r="Q232" s="9">
        <f t="shared" si="7"/>
        <v>709.2</v>
      </c>
      <c r="R232" s="5">
        <v>14</v>
      </c>
      <c r="S232" s="5" t="s">
        <v>2033</v>
      </c>
      <c r="T232" s="5" t="s">
        <v>2037</v>
      </c>
    </row>
    <row r="233" spans="1:20" x14ac:dyDescent="0.25">
      <c r="A233" s="5" t="s">
        <v>246</v>
      </c>
      <c r="B233" s="10">
        <v>45444</v>
      </c>
      <c r="C233" s="5" t="s">
        <v>1020</v>
      </c>
      <c r="D233" s="11" t="s">
        <v>1252</v>
      </c>
      <c r="E233" s="5" t="s">
        <v>2288</v>
      </c>
      <c r="F233" s="5">
        <v>27</v>
      </c>
      <c r="G233" s="5" t="str" cm="1">
        <f t="array" ref="G233">_xlfn.IFS(F233&lt;12,"Child",F233&lt;18,"Teen",F233&lt;25,"Young",F233&lt;40,"Adult",F233&lt;60,"Middle Age",F233&gt;=60,"Old")</f>
        <v>Adult</v>
      </c>
      <c r="H233" s="5" t="s">
        <v>2044</v>
      </c>
      <c r="I233" s="5" t="s">
        <v>2047</v>
      </c>
      <c r="J233" s="5" t="s">
        <v>2025</v>
      </c>
      <c r="K233" s="5" t="str">
        <f>VLOOKUP(J233,Sheet2!$A$1:$B$11,2,FALSE)</f>
        <v>Formal Wear</v>
      </c>
      <c r="L233" s="5">
        <v>1</v>
      </c>
      <c r="M233" s="6">
        <v>453</v>
      </c>
      <c r="N233" s="6">
        <v>453</v>
      </c>
      <c r="O233" s="7">
        <v>0.1</v>
      </c>
      <c r="P233" s="8">
        <f t="shared" si="6"/>
        <v>45.300000000000004</v>
      </c>
      <c r="Q233" s="9">
        <f t="shared" si="7"/>
        <v>407.7</v>
      </c>
      <c r="R233" s="5">
        <v>8</v>
      </c>
      <c r="S233" s="5" t="s">
        <v>2033</v>
      </c>
      <c r="T233" s="5" t="s">
        <v>2037</v>
      </c>
    </row>
    <row r="234" spans="1:20" x14ac:dyDescent="0.25">
      <c r="A234" s="5" t="s">
        <v>247</v>
      </c>
      <c r="B234" s="10">
        <v>45417</v>
      </c>
      <c r="C234" s="5" t="s">
        <v>1015</v>
      </c>
      <c r="D234" s="11" t="s">
        <v>1253</v>
      </c>
      <c r="E234" s="5" t="s">
        <v>2289</v>
      </c>
      <c r="F234" s="5">
        <v>58</v>
      </c>
      <c r="G234" s="5" t="str" cm="1">
        <f t="array" ref="G234">_xlfn.IFS(F234&lt;12,"Child",F234&lt;18,"Teen",F234&lt;25,"Young",F234&lt;40,"Adult",F234&lt;60,"Middle Age",F234&gt;=60,"Old")</f>
        <v>Middle Age</v>
      </c>
      <c r="H234" s="5" t="s">
        <v>2044</v>
      </c>
      <c r="I234" s="5" t="s">
        <v>2046</v>
      </c>
      <c r="J234" s="5" t="s">
        <v>2025</v>
      </c>
      <c r="K234" s="5" t="str">
        <f>VLOOKUP(J234,Sheet2!$A$1:$B$11,2,FALSE)</f>
        <v>Formal Wear</v>
      </c>
      <c r="L234" s="5">
        <v>2</v>
      </c>
      <c r="M234" s="6">
        <v>627</v>
      </c>
      <c r="N234" s="6">
        <v>1254</v>
      </c>
      <c r="O234" s="7">
        <v>0.2</v>
      </c>
      <c r="P234" s="8">
        <f t="shared" si="6"/>
        <v>250.8</v>
      </c>
      <c r="Q234" s="9">
        <f t="shared" si="7"/>
        <v>1003.2</v>
      </c>
      <c r="R234" s="5">
        <v>20</v>
      </c>
      <c r="S234" s="5" t="s">
        <v>2032</v>
      </c>
      <c r="T234" s="5" t="s">
        <v>2035</v>
      </c>
    </row>
    <row r="235" spans="1:20" x14ac:dyDescent="0.25">
      <c r="A235" s="5" t="s">
        <v>248</v>
      </c>
      <c r="B235" s="10">
        <v>45457</v>
      </c>
      <c r="C235" s="5" t="s">
        <v>1014</v>
      </c>
      <c r="D235" s="11" t="s">
        <v>1254</v>
      </c>
      <c r="E235" s="5" t="s">
        <v>2290</v>
      </c>
      <c r="F235" s="5">
        <v>20</v>
      </c>
      <c r="G235" s="5" t="str" cm="1">
        <f t="array" ref="G235">_xlfn.IFS(F235&lt;12,"Child",F235&lt;18,"Teen",F235&lt;25,"Young",F235&lt;40,"Adult",F235&lt;60,"Middle Age",F235&gt;=60,"Old")</f>
        <v>Young</v>
      </c>
      <c r="H235" s="5" t="s">
        <v>2043</v>
      </c>
      <c r="I235" s="5" t="s">
        <v>2047</v>
      </c>
      <c r="J235" s="5" t="s">
        <v>2020</v>
      </c>
      <c r="K235" s="5" t="str">
        <f>VLOOKUP(J235,Sheet2!$A$1:$B$11,2,FALSE)</f>
        <v>Summer Wear</v>
      </c>
      <c r="L235" s="5">
        <v>2</v>
      </c>
      <c r="M235" s="6">
        <v>1047</v>
      </c>
      <c r="N235" s="6">
        <v>2094</v>
      </c>
      <c r="O235" s="7">
        <v>0</v>
      </c>
      <c r="P235" s="8">
        <f t="shared" si="6"/>
        <v>0</v>
      </c>
      <c r="Q235" s="9">
        <f t="shared" si="7"/>
        <v>2094</v>
      </c>
      <c r="R235" s="5">
        <v>41</v>
      </c>
      <c r="S235" s="5" t="s">
        <v>2032</v>
      </c>
      <c r="T235" s="5" t="s">
        <v>2035</v>
      </c>
    </row>
    <row r="236" spans="1:20" x14ac:dyDescent="0.25">
      <c r="A236" s="5" t="s">
        <v>249</v>
      </c>
      <c r="B236" s="10">
        <v>45598</v>
      </c>
      <c r="C236" s="5" t="s">
        <v>1020</v>
      </c>
      <c r="D236" s="11" t="s">
        <v>1255</v>
      </c>
      <c r="E236" s="5" t="s">
        <v>2291</v>
      </c>
      <c r="F236" s="5">
        <v>32</v>
      </c>
      <c r="G236" s="5" t="str" cm="1">
        <f t="array" ref="G236">_xlfn.IFS(F236&lt;12,"Child",F236&lt;18,"Teen",F236&lt;25,"Young",F236&lt;40,"Adult",F236&lt;60,"Middle Age",F236&gt;=60,"Old")</f>
        <v>Adult</v>
      </c>
      <c r="H236" s="5" t="s">
        <v>2043</v>
      </c>
      <c r="I236" s="5" t="s">
        <v>2047</v>
      </c>
      <c r="J236" s="5" t="s">
        <v>2024</v>
      </c>
      <c r="K236" s="5" t="str">
        <f>VLOOKUP(J236,Sheet2!$A$1:$B$11,2,FALSE)</f>
        <v>Fashion Accessories</v>
      </c>
      <c r="L236" s="5">
        <v>3</v>
      </c>
      <c r="M236" s="6">
        <v>810</v>
      </c>
      <c r="N236" s="6">
        <v>2430</v>
      </c>
      <c r="O236" s="7">
        <v>0.1</v>
      </c>
      <c r="P236" s="8">
        <f t="shared" si="6"/>
        <v>243</v>
      </c>
      <c r="Q236" s="9">
        <f t="shared" si="7"/>
        <v>2187</v>
      </c>
      <c r="R236" s="5">
        <v>43</v>
      </c>
      <c r="S236" s="5" t="s">
        <v>2032</v>
      </c>
      <c r="T236" s="5" t="s">
        <v>2035</v>
      </c>
    </row>
    <row r="237" spans="1:20" x14ac:dyDescent="0.25">
      <c r="A237" s="5" t="s">
        <v>250</v>
      </c>
      <c r="B237" s="10">
        <v>45585</v>
      </c>
      <c r="C237" s="5" t="s">
        <v>1015</v>
      </c>
      <c r="D237" s="11" t="s">
        <v>1256</v>
      </c>
      <c r="E237" s="5" t="s">
        <v>2292</v>
      </c>
      <c r="F237" s="5">
        <v>44</v>
      </c>
      <c r="G237" s="5" t="str" cm="1">
        <f t="array" ref="G237">_xlfn.IFS(F237&lt;12,"Child",F237&lt;18,"Teen",F237&lt;25,"Young",F237&lt;40,"Adult",F237&lt;60,"Middle Age",F237&gt;=60,"Old")</f>
        <v>Middle Age</v>
      </c>
      <c r="H237" s="5" t="s">
        <v>2044</v>
      </c>
      <c r="I237" s="5" t="s">
        <v>2046</v>
      </c>
      <c r="J237" s="5" t="s">
        <v>2024</v>
      </c>
      <c r="K237" s="5" t="str">
        <f>VLOOKUP(J237,Sheet2!$A$1:$B$11,2,FALSE)</f>
        <v>Fashion Accessories</v>
      </c>
      <c r="L237" s="5">
        <v>2</v>
      </c>
      <c r="M237" s="6">
        <v>1052</v>
      </c>
      <c r="N237" s="6">
        <v>2104</v>
      </c>
      <c r="O237" s="7">
        <v>0.15</v>
      </c>
      <c r="P237" s="8">
        <f t="shared" si="6"/>
        <v>315.59999999999997</v>
      </c>
      <c r="Q237" s="9">
        <f t="shared" si="7"/>
        <v>1788.4</v>
      </c>
      <c r="R237" s="5">
        <v>35</v>
      </c>
      <c r="S237" s="5" t="s">
        <v>2032</v>
      </c>
      <c r="T237" s="5" t="s">
        <v>2037</v>
      </c>
    </row>
    <row r="238" spans="1:20" x14ac:dyDescent="0.25">
      <c r="A238" s="5" t="s">
        <v>251</v>
      </c>
      <c r="B238" s="10">
        <v>45651</v>
      </c>
      <c r="C238" s="5" t="s">
        <v>1017</v>
      </c>
      <c r="D238" s="11" t="s">
        <v>1257</v>
      </c>
      <c r="E238" s="5" t="s">
        <v>2293</v>
      </c>
      <c r="F238" s="5">
        <v>20</v>
      </c>
      <c r="G238" s="5" t="str" cm="1">
        <f t="array" ref="G238">_xlfn.IFS(F238&lt;12,"Child",F238&lt;18,"Teen",F238&lt;25,"Young",F238&lt;40,"Adult",F238&lt;60,"Middle Age",F238&gt;=60,"Old")</f>
        <v>Young</v>
      </c>
      <c r="H238" s="5" t="s">
        <v>2043</v>
      </c>
      <c r="I238" s="5" t="s">
        <v>2046</v>
      </c>
      <c r="J238" s="5" t="s">
        <v>2019</v>
      </c>
      <c r="K238" s="5" t="str">
        <f>VLOOKUP(J238,Sheet2!$A$1:$B$11,2,FALSE)</f>
        <v>Formal Wear</v>
      </c>
      <c r="L238" s="5">
        <v>3</v>
      </c>
      <c r="M238" s="6">
        <v>590</v>
      </c>
      <c r="N238" s="6">
        <v>1770</v>
      </c>
      <c r="O238" s="7">
        <v>0.05</v>
      </c>
      <c r="P238" s="8">
        <f t="shared" si="6"/>
        <v>88.5</v>
      </c>
      <c r="Q238" s="9">
        <f t="shared" si="7"/>
        <v>1681.5</v>
      </c>
      <c r="R238" s="5">
        <v>33</v>
      </c>
      <c r="S238" s="5" t="s">
        <v>2033</v>
      </c>
      <c r="T238" s="5" t="s">
        <v>2037</v>
      </c>
    </row>
    <row r="239" spans="1:20" x14ac:dyDescent="0.25">
      <c r="A239" s="5" t="s">
        <v>252</v>
      </c>
      <c r="B239" s="10">
        <v>45529</v>
      </c>
      <c r="C239" s="5" t="s">
        <v>1015</v>
      </c>
      <c r="D239" s="11" t="s">
        <v>1258</v>
      </c>
      <c r="E239" s="5" t="s">
        <v>2294</v>
      </c>
      <c r="F239" s="5">
        <v>56</v>
      </c>
      <c r="G239" s="5" t="str" cm="1">
        <f t="array" ref="G239">_xlfn.IFS(F239&lt;12,"Child",F239&lt;18,"Teen",F239&lt;25,"Young",F239&lt;40,"Adult",F239&lt;60,"Middle Age",F239&gt;=60,"Old")</f>
        <v>Middle Age</v>
      </c>
      <c r="H239" s="5" t="s">
        <v>2043</v>
      </c>
      <c r="I239" s="5" t="s">
        <v>2048</v>
      </c>
      <c r="J239" s="5" t="s">
        <v>2025</v>
      </c>
      <c r="K239" s="5" t="str">
        <f>VLOOKUP(J239,Sheet2!$A$1:$B$11,2,FALSE)</f>
        <v>Formal Wear</v>
      </c>
      <c r="L239" s="5">
        <v>5</v>
      </c>
      <c r="M239" s="6">
        <v>346</v>
      </c>
      <c r="N239" s="6">
        <v>1730</v>
      </c>
      <c r="O239" s="7">
        <v>0.05</v>
      </c>
      <c r="P239" s="8">
        <f t="shared" si="6"/>
        <v>86.5</v>
      </c>
      <c r="Q239" s="9">
        <f t="shared" si="7"/>
        <v>1643.5</v>
      </c>
      <c r="R239" s="5">
        <v>32</v>
      </c>
      <c r="S239" s="5" t="s">
        <v>2033</v>
      </c>
      <c r="T239" s="5" t="s">
        <v>2036</v>
      </c>
    </row>
    <row r="240" spans="1:20" x14ac:dyDescent="0.25">
      <c r="A240" s="5" t="s">
        <v>253</v>
      </c>
      <c r="B240" s="10">
        <v>45718</v>
      </c>
      <c r="C240" s="5" t="s">
        <v>1015</v>
      </c>
      <c r="D240" s="11" t="s">
        <v>1259</v>
      </c>
      <c r="E240" s="5" t="s">
        <v>2295</v>
      </c>
      <c r="F240" s="5">
        <v>45</v>
      </c>
      <c r="G240" s="5" t="str" cm="1">
        <f t="array" ref="G240">_xlfn.IFS(F240&lt;12,"Child",F240&lt;18,"Teen",F240&lt;25,"Young",F240&lt;40,"Adult",F240&lt;60,"Middle Age",F240&gt;=60,"Old")</f>
        <v>Middle Age</v>
      </c>
      <c r="H240" s="5" t="s">
        <v>2044</v>
      </c>
      <c r="I240" s="5" t="s">
        <v>2051</v>
      </c>
      <c r="J240" s="5" t="s">
        <v>2020</v>
      </c>
      <c r="K240" s="5" t="str">
        <f>VLOOKUP(J240,Sheet2!$A$1:$B$11,2,FALSE)</f>
        <v>Summer Wear</v>
      </c>
      <c r="L240" s="5">
        <v>2</v>
      </c>
      <c r="M240" s="6">
        <v>192</v>
      </c>
      <c r="N240" s="6">
        <v>384</v>
      </c>
      <c r="O240" s="7">
        <v>0</v>
      </c>
      <c r="P240" s="8">
        <f t="shared" si="6"/>
        <v>0</v>
      </c>
      <c r="Q240" s="9">
        <f t="shared" si="7"/>
        <v>384</v>
      </c>
      <c r="R240" s="5">
        <v>7</v>
      </c>
      <c r="S240" s="5" t="s">
        <v>2034</v>
      </c>
      <c r="T240" s="5" t="s">
        <v>2036</v>
      </c>
    </row>
    <row r="241" spans="1:20" x14ac:dyDescent="0.25">
      <c r="A241" s="5" t="s">
        <v>254</v>
      </c>
      <c r="B241" s="10">
        <v>45421</v>
      </c>
      <c r="C241" s="5" t="s">
        <v>1018</v>
      </c>
      <c r="D241" s="11" t="s">
        <v>1260</v>
      </c>
      <c r="E241" s="5" t="s">
        <v>2296</v>
      </c>
      <c r="F241" s="5">
        <v>49</v>
      </c>
      <c r="G241" s="5" t="str" cm="1">
        <f t="array" ref="G241">_xlfn.IFS(F241&lt;12,"Child",F241&lt;18,"Teen",F241&lt;25,"Young",F241&lt;40,"Adult",F241&lt;60,"Middle Age",F241&gt;=60,"Old")</f>
        <v>Middle Age</v>
      </c>
      <c r="H241" s="5" t="s">
        <v>2043</v>
      </c>
      <c r="I241" s="5" t="s">
        <v>2052</v>
      </c>
      <c r="J241" s="5" t="s">
        <v>2018</v>
      </c>
      <c r="K241" s="5" t="str">
        <f>VLOOKUP(J241,Sheet2!$A$1:$B$11,2,FALSE)</f>
        <v>Sportswear</v>
      </c>
      <c r="L241" s="5">
        <v>2</v>
      </c>
      <c r="M241" s="6">
        <v>1009</v>
      </c>
      <c r="N241" s="6">
        <v>2018</v>
      </c>
      <c r="O241" s="7">
        <v>0.2</v>
      </c>
      <c r="P241" s="8">
        <f t="shared" si="6"/>
        <v>403.6</v>
      </c>
      <c r="Q241" s="9">
        <f t="shared" si="7"/>
        <v>1614.4</v>
      </c>
      <c r="R241" s="5">
        <v>32</v>
      </c>
      <c r="S241" s="5" t="s">
        <v>2032</v>
      </c>
      <c r="T241" s="5" t="s">
        <v>2036</v>
      </c>
    </row>
    <row r="242" spans="1:20" x14ac:dyDescent="0.25">
      <c r="A242" s="5" t="s">
        <v>255</v>
      </c>
      <c r="B242" s="10">
        <v>45546</v>
      </c>
      <c r="C242" s="5" t="s">
        <v>1017</v>
      </c>
      <c r="D242" s="11" t="s">
        <v>1261</v>
      </c>
      <c r="E242" s="5" t="s">
        <v>2297</v>
      </c>
      <c r="F242" s="5">
        <v>31</v>
      </c>
      <c r="G242" s="5" t="str" cm="1">
        <f t="array" ref="G242">_xlfn.IFS(F242&lt;12,"Child",F242&lt;18,"Teen",F242&lt;25,"Young",F242&lt;40,"Adult",F242&lt;60,"Middle Age",F242&gt;=60,"Old")</f>
        <v>Adult</v>
      </c>
      <c r="H242" s="5" t="s">
        <v>2043</v>
      </c>
      <c r="I242" s="5" t="s">
        <v>2050</v>
      </c>
      <c r="J242" s="5" t="s">
        <v>2016</v>
      </c>
      <c r="K242" s="5" t="str">
        <f>VLOOKUP(J242,Sheet2!$A$1:$B$11,2,FALSE)</f>
        <v>Winter Wear</v>
      </c>
      <c r="L242" s="5">
        <v>4</v>
      </c>
      <c r="M242" s="6">
        <v>817</v>
      </c>
      <c r="N242" s="6">
        <v>3268</v>
      </c>
      <c r="O242" s="7">
        <v>0</v>
      </c>
      <c r="P242" s="8">
        <f t="shared" si="6"/>
        <v>0</v>
      </c>
      <c r="Q242" s="9">
        <f t="shared" si="7"/>
        <v>3268</v>
      </c>
      <c r="R242" s="5">
        <v>65</v>
      </c>
      <c r="S242" s="5" t="s">
        <v>2034</v>
      </c>
      <c r="T242" s="5" t="s">
        <v>2036</v>
      </c>
    </row>
    <row r="243" spans="1:20" x14ac:dyDescent="0.25">
      <c r="A243" s="5" t="s">
        <v>256</v>
      </c>
      <c r="B243" s="10">
        <v>45433</v>
      </c>
      <c r="C243" s="5" t="s">
        <v>1019</v>
      </c>
      <c r="D243" s="11" t="s">
        <v>1262</v>
      </c>
      <c r="E243" s="5" t="s">
        <v>2298</v>
      </c>
      <c r="F243" s="5">
        <v>44</v>
      </c>
      <c r="G243" s="5" t="str" cm="1">
        <f t="array" ref="G243">_xlfn.IFS(F243&lt;12,"Child",F243&lt;18,"Teen",F243&lt;25,"Young",F243&lt;40,"Adult",F243&lt;60,"Middle Age",F243&gt;=60,"Old")</f>
        <v>Middle Age</v>
      </c>
      <c r="H243" s="5" t="s">
        <v>2044</v>
      </c>
      <c r="I243" s="5" t="s">
        <v>2053</v>
      </c>
      <c r="J243" s="5" t="s">
        <v>2018</v>
      </c>
      <c r="K243" s="5" t="str">
        <f>VLOOKUP(J243,Sheet2!$A$1:$B$11,2,FALSE)</f>
        <v>Sportswear</v>
      </c>
      <c r="L243" s="5">
        <v>4</v>
      </c>
      <c r="M243" s="6">
        <v>559</v>
      </c>
      <c r="N243" s="6">
        <v>2236</v>
      </c>
      <c r="O243" s="7">
        <v>0.2</v>
      </c>
      <c r="P243" s="8">
        <f t="shared" si="6"/>
        <v>447.20000000000005</v>
      </c>
      <c r="Q243" s="9">
        <f t="shared" si="7"/>
        <v>1788.8</v>
      </c>
      <c r="R243" s="5">
        <v>35</v>
      </c>
      <c r="S243" s="5" t="s">
        <v>2034</v>
      </c>
      <c r="T243" s="5" t="s">
        <v>2036</v>
      </c>
    </row>
    <row r="244" spans="1:20" x14ac:dyDescent="0.25">
      <c r="A244" s="5" t="s">
        <v>257</v>
      </c>
      <c r="B244" s="10">
        <v>45644</v>
      </c>
      <c r="C244" s="5" t="s">
        <v>1017</v>
      </c>
      <c r="D244" s="11" t="s">
        <v>1263</v>
      </c>
      <c r="E244" s="5" t="s">
        <v>2299</v>
      </c>
      <c r="F244" s="5">
        <v>37</v>
      </c>
      <c r="G244" s="5" t="str" cm="1">
        <f t="array" ref="G244">_xlfn.IFS(F244&lt;12,"Child",F244&lt;18,"Teen",F244&lt;25,"Young",F244&lt;40,"Adult",F244&lt;60,"Middle Age",F244&gt;=60,"Old")</f>
        <v>Adult</v>
      </c>
      <c r="H244" s="5" t="s">
        <v>2044</v>
      </c>
      <c r="I244" s="5" t="s">
        <v>2045</v>
      </c>
      <c r="J244" s="5" t="s">
        <v>2021</v>
      </c>
      <c r="K244" s="5" t="str">
        <f>VLOOKUP(J244,Sheet2!$A$1:$B$11,2,FALSE)</f>
        <v>Casual Wear</v>
      </c>
      <c r="L244" s="5">
        <v>3</v>
      </c>
      <c r="M244" s="6">
        <v>779</v>
      </c>
      <c r="N244" s="6">
        <v>2337</v>
      </c>
      <c r="O244" s="7">
        <v>0.15</v>
      </c>
      <c r="P244" s="8">
        <f t="shared" si="6"/>
        <v>350.55</v>
      </c>
      <c r="Q244" s="9">
        <f t="shared" si="7"/>
        <v>1986.45</v>
      </c>
      <c r="R244" s="5">
        <v>39</v>
      </c>
      <c r="S244" s="5" t="s">
        <v>2032</v>
      </c>
      <c r="T244" s="5" t="s">
        <v>2035</v>
      </c>
    </row>
    <row r="245" spans="1:20" x14ac:dyDescent="0.25">
      <c r="A245" s="5" t="s">
        <v>258</v>
      </c>
      <c r="B245" s="10">
        <v>45441</v>
      </c>
      <c r="C245" s="5" t="s">
        <v>1017</v>
      </c>
      <c r="D245" s="11" t="s">
        <v>1264</v>
      </c>
      <c r="E245" s="5" t="s">
        <v>2300</v>
      </c>
      <c r="F245" s="5">
        <v>42</v>
      </c>
      <c r="G245" s="5" t="str" cm="1">
        <f t="array" ref="G245">_xlfn.IFS(F245&lt;12,"Child",F245&lt;18,"Teen",F245&lt;25,"Young",F245&lt;40,"Adult",F245&lt;60,"Middle Age",F245&gt;=60,"Old")</f>
        <v>Middle Age</v>
      </c>
      <c r="H245" s="5" t="s">
        <v>2044</v>
      </c>
      <c r="I245" s="5" t="s">
        <v>2045</v>
      </c>
      <c r="J245" s="5" t="s">
        <v>2023</v>
      </c>
      <c r="K245" s="5" t="str">
        <f>VLOOKUP(J245,Sheet2!$A$1:$B$11,2,FALSE)</f>
        <v>Formal Wear</v>
      </c>
      <c r="L245" s="5">
        <v>5</v>
      </c>
      <c r="M245" s="6">
        <v>707</v>
      </c>
      <c r="N245" s="6">
        <v>3535</v>
      </c>
      <c r="O245" s="7">
        <v>0.2</v>
      </c>
      <c r="P245" s="8">
        <f t="shared" si="6"/>
        <v>707</v>
      </c>
      <c r="Q245" s="9">
        <f t="shared" si="7"/>
        <v>2828</v>
      </c>
      <c r="R245" s="5">
        <v>56</v>
      </c>
      <c r="S245" s="5" t="s">
        <v>2033</v>
      </c>
      <c r="T245" s="5" t="s">
        <v>2037</v>
      </c>
    </row>
    <row r="246" spans="1:20" x14ac:dyDescent="0.25">
      <c r="A246" s="5" t="s">
        <v>259</v>
      </c>
      <c r="B246" s="10">
        <v>45709</v>
      </c>
      <c r="C246" s="5" t="s">
        <v>1014</v>
      </c>
      <c r="D246" s="11" t="s">
        <v>1265</v>
      </c>
      <c r="E246" s="5" t="s">
        <v>2301</v>
      </c>
      <c r="F246" s="5">
        <v>39</v>
      </c>
      <c r="G246" s="5" t="str" cm="1">
        <f t="array" ref="G246">_xlfn.IFS(F246&lt;12,"Child",F246&lt;18,"Teen",F246&lt;25,"Young",F246&lt;40,"Adult",F246&lt;60,"Middle Age",F246&gt;=60,"Old")</f>
        <v>Adult</v>
      </c>
      <c r="H246" s="5" t="s">
        <v>2044</v>
      </c>
      <c r="I246" s="5" t="s">
        <v>2048</v>
      </c>
      <c r="J246" s="5" t="s">
        <v>2025</v>
      </c>
      <c r="K246" s="5" t="str">
        <f>VLOOKUP(J246,Sheet2!$A$1:$B$11,2,FALSE)</f>
        <v>Formal Wear</v>
      </c>
      <c r="L246" s="5">
        <v>5</v>
      </c>
      <c r="M246" s="6">
        <v>699</v>
      </c>
      <c r="N246" s="6">
        <v>3495</v>
      </c>
      <c r="O246" s="7">
        <v>0.2</v>
      </c>
      <c r="P246" s="8">
        <f t="shared" si="6"/>
        <v>699</v>
      </c>
      <c r="Q246" s="9">
        <f t="shared" si="7"/>
        <v>2796</v>
      </c>
      <c r="R246" s="5">
        <v>55</v>
      </c>
      <c r="S246" s="5" t="s">
        <v>2032</v>
      </c>
      <c r="T246" s="5" t="s">
        <v>2035</v>
      </c>
    </row>
    <row r="247" spans="1:20" x14ac:dyDescent="0.25">
      <c r="A247" s="5" t="s">
        <v>260</v>
      </c>
      <c r="B247" s="10">
        <v>45379</v>
      </c>
      <c r="C247" s="5" t="s">
        <v>1018</v>
      </c>
      <c r="D247" s="11" t="s">
        <v>1266</v>
      </c>
      <c r="E247" s="5" t="s">
        <v>2302</v>
      </c>
      <c r="F247" s="5">
        <v>30</v>
      </c>
      <c r="G247" s="5" t="str" cm="1">
        <f t="array" ref="G247">_xlfn.IFS(F247&lt;12,"Child",F247&lt;18,"Teen",F247&lt;25,"Young",F247&lt;40,"Adult",F247&lt;60,"Middle Age",F247&gt;=60,"Old")</f>
        <v>Adult</v>
      </c>
      <c r="H247" s="5" t="s">
        <v>2044</v>
      </c>
      <c r="I247" s="5" t="s">
        <v>2046</v>
      </c>
      <c r="J247" s="5" t="s">
        <v>2020</v>
      </c>
      <c r="K247" s="5" t="str">
        <f>VLOOKUP(J247,Sheet2!$A$1:$B$11,2,FALSE)</f>
        <v>Summer Wear</v>
      </c>
      <c r="L247" s="5">
        <v>4</v>
      </c>
      <c r="M247" s="6">
        <v>322</v>
      </c>
      <c r="N247" s="6">
        <v>1288</v>
      </c>
      <c r="O247" s="7">
        <v>0.15</v>
      </c>
      <c r="P247" s="8">
        <f t="shared" si="6"/>
        <v>193.2</v>
      </c>
      <c r="Q247" s="9">
        <f t="shared" si="7"/>
        <v>1094.8</v>
      </c>
      <c r="R247" s="5">
        <v>21</v>
      </c>
      <c r="S247" s="5" t="s">
        <v>2033</v>
      </c>
      <c r="T247" s="5" t="s">
        <v>2037</v>
      </c>
    </row>
    <row r="248" spans="1:20" x14ac:dyDescent="0.25">
      <c r="A248" s="5" t="s">
        <v>261</v>
      </c>
      <c r="B248" s="10">
        <v>45368</v>
      </c>
      <c r="C248" s="5" t="s">
        <v>1015</v>
      </c>
      <c r="D248" s="11" t="s">
        <v>1267</v>
      </c>
      <c r="E248" s="5" t="s">
        <v>2303</v>
      </c>
      <c r="F248" s="5">
        <v>27</v>
      </c>
      <c r="G248" s="5" t="str" cm="1">
        <f t="array" ref="G248">_xlfn.IFS(F248&lt;12,"Child",F248&lt;18,"Teen",F248&lt;25,"Young",F248&lt;40,"Adult",F248&lt;60,"Middle Age",F248&gt;=60,"Old")</f>
        <v>Adult</v>
      </c>
      <c r="H248" s="5" t="s">
        <v>2044</v>
      </c>
      <c r="I248" s="5" t="s">
        <v>2045</v>
      </c>
      <c r="J248" s="5" t="s">
        <v>2023</v>
      </c>
      <c r="K248" s="5" t="str">
        <f>VLOOKUP(J248,Sheet2!$A$1:$B$11,2,FALSE)</f>
        <v>Formal Wear</v>
      </c>
      <c r="L248" s="5">
        <v>2</v>
      </c>
      <c r="M248" s="6">
        <v>933</v>
      </c>
      <c r="N248" s="6">
        <v>1866</v>
      </c>
      <c r="O248" s="7">
        <v>0.15</v>
      </c>
      <c r="P248" s="8">
        <f t="shared" si="6"/>
        <v>279.89999999999998</v>
      </c>
      <c r="Q248" s="9">
        <f t="shared" si="7"/>
        <v>1586.1</v>
      </c>
      <c r="R248" s="5">
        <v>31</v>
      </c>
      <c r="S248" s="5" t="s">
        <v>2032</v>
      </c>
      <c r="T248" s="5" t="s">
        <v>2036</v>
      </c>
    </row>
    <row r="249" spans="1:20" x14ac:dyDescent="0.25">
      <c r="A249" s="5" t="s">
        <v>262</v>
      </c>
      <c r="B249" s="10">
        <v>45561</v>
      </c>
      <c r="C249" s="5" t="s">
        <v>1018</v>
      </c>
      <c r="D249" s="11" t="s">
        <v>1268</v>
      </c>
      <c r="E249" s="5" t="s">
        <v>2304</v>
      </c>
      <c r="F249" s="5">
        <v>43</v>
      </c>
      <c r="G249" s="5" t="str" cm="1">
        <f t="array" ref="G249">_xlfn.IFS(F249&lt;12,"Child",F249&lt;18,"Teen",F249&lt;25,"Young",F249&lt;40,"Adult",F249&lt;60,"Middle Age",F249&gt;=60,"Old")</f>
        <v>Middle Age</v>
      </c>
      <c r="H249" s="5" t="s">
        <v>2043</v>
      </c>
      <c r="I249" s="5" t="s">
        <v>2045</v>
      </c>
      <c r="J249" s="5" t="s">
        <v>2025</v>
      </c>
      <c r="K249" s="5" t="str">
        <f>VLOOKUP(J249,Sheet2!$A$1:$B$11,2,FALSE)</f>
        <v>Formal Wear</v>
      </c>
      <c r="L249" s="5">
        <v>4</v>
      </c>
      <c r="M249" s="6">
        <v>238</v>
      </c>
      <c r="N249" s="6">
        <v>952</v>
      </c>
      <c r="O249" s="7">
        <v>0.1</v>
      </c>
      <c r="P249" s="8">
        <f t="shared" si="6"/>
        <v>95.2</v>
      </c>
      <c r="Q249" s="9">
        <f t="shared" si="7"/>
        <v>856.8</v>
      </c>
      <c r="R249" s="5">
        <v>17</v>
      </c>
      <c r="S249" s="5" t="s">
        <v>2032</v>
      </c>
      <c r="T249" s="5" t="s">
        <v>2035</v>
      </c>
    </row>
    <row r="250" spans="1:20" x14ac:dyDescent="0.25">
      <c r="A250" s="5" t="s">
        <v>263</v>
      </c>
      <c r="B250" s="10">
        <v>45666</v>
      </c>
      <c r="C250" s="5" t="s">
        <v>1018</v>
      </c>
      <c r="D250" s="11" t="s">
        <v>1269</v>
      </c>
      <c r="E250" s="5" t="s">
        <v>2305</v>
      </c>
      <c r="F250" s="5">
        <v>28</v>
      </c>
      <c r="G250" s="5" t="str" cm="1">
        <f t="array" ref="G250">_xlfn.IFS(F250&lt;12,"Child",F250&lt;18,"Teen",F250&lt;25,"Young",F250&lt;40,"Adult",F250&lt;60,"Middle Age",F250&gt;=60,"Old")</f>
        <v>Adult</v>
      </c>
      <c r="H250" s="5" t="s">
        <v>2044</v>
      </c>
      <c r="I250" s="5" t="s">
        <v>2048</v>
      </c>
      <c r="J250" s="5" t="s">
        <v>2023</v>
      </c>
      <c r="K250" s="5" t="str">
        <f>VLOOKUP(J250,Sheet2!$A$1:$B$11,2,FALSE)</f>
        <v>Formal Wear</v>
      </c>
      <c r="L250" s="5">
        <v>4</v>
      </c>
      <c r="M250" s="6">
        <v>770</v>
      </c>
      <c r="N250" s="6">
        <v>3080</v>
      </c>
      <c r="O250" s="7">
        <v>0.1</v>
      </c>
      <c r="P250" s="8">
        <f t="shared" si="6"/>
        <v>308</v>
      </c>
      <c r="Q250" s="9">
        <f t="shared" si="7"/>
        <v>2772</v>
      </c>
      <c r="R250" s="5">
        <v>55</v>
      </c>
      <c r="S250" s="5" t="s">
        <v>2034</v>
      </c>
      <c r="T250" s="5" t="s">
        <v>2036</v>
      </c>
    </row>
    <row r="251" spans="1:20" x14ac:dyDescent="0.25">
      <c r="A251" s="5" t="s">
        <v>264</v>
      </c>
      <c r="B251" s="10">
        <v>45674</v>
      </c>
      <c r="C251" s="5" t="s">
        <v>1014</v>
      </c>
      <c r="D251" s="11" t="s">
        <v>1270</v>
      </c>
      <c r="E251" s="5" t="s">
        <v>2306</v>
      </c>
      <c r="F251" s="5">
        <v>34</v>
      </c>
      <c r="G251" s="5" t="str" cm="1">
        <f t="array" ref="G251">_xlfn.IFS(F251&lt;12,"Child",F251&lt;18,"Teen",F251&lt;25,"Young",F251&lt;40,"Adult",F251&lt;60,"Middle Age",F251&gt;=60,"Old")</f>
        <v>Adult</v>
      </c>
      <c r="H251" s="5" t="s">
        <v>2043</v>
      </c>
      <c r="I251" s="5" t="s">
        <v>2052</v>
      </c>
      <c r="J251" s="5" t="s">
        <v>2021</v>
      </c>
      <c r="K251" s="5" t="str">
        <f>VLOOKUP(J251,Sheet2!$A$1:$B$11,2,FALSE)</f>
        <v>Casual Wear</v>
      </c>
      <c r="L251" s="5">
        <v>3</v>
      </c>
      <c r="M251" s="6">
        <v>765</v>
      </c>
      <c r="N251" s="6">
        <v>2295</v>
      </c>
      <c r="O251" s="7">
        <v>0.15</v>
      </c>
      <c r="P251" s="8">
        <f t="shared" si="6"/>
        <v>344.25</v>
      </c>
      <c r="Q251" s="9">
        <f t="shared" si="7"/>
        <v>1950.75</v>
      </c>
      <c r="R251" s="5">
        <v>39</v>
      </c>
      <c r="S251" s="5" t="s">
        <v>2034</v>
      </c>
      <c r="T251" s="5" t="s">
        <v>2035</v>
      </c>
    </row>
    <row r="252" spans="1:20" x14ac:dyDescent="0.25">
      <c r="A252" s="5" t="s">
        <v>265</v>
      </c>
      <c r="B252" s="10">
        <v>45526</v>
      </c>
      <c r="C252" s="5" t="s">
        <v>1018</v>
      </c>
      <c r="D252" s="11" t="s">
        <v>1271</v>
      </c>
      <c r="E252" s="5" t="s">
        <v>2307</v>
      </c>
      <c r="F252" s="5">
        <v>48</v>
      </c>
      <c r="G252" s="5" t="str" cm="1">
        <f t="array" ref="G252">_xlfn.IFS(F252&lt;12,"Child",F252&lt;18,"Teen",F252&lt;25,"Young",F252&lt;40,"Adult",F252&lt;60,"Middle Age",F252&gt;=60,"Old")</f>
        <v>Middle Age</v>
      </c>
      <c r="H252" s="5" t="s">
        <v>2044</v>
      </c>
      <c r="I252" s="5" t="s">
        <v>2051</v>
      </c>
      <c r="J252" s="5" t="s">
        <v>2024</v>
      </c>
      <c r="K252" s="5" t="str">
        <f>VLOOKUP(J252,Sheet2!$A$1:$B$11,2,FALSE)</f>
        <v>Fashion Accessories</v>
      </c>
      <c r="L252" s="5">
        <v>3</v>
      </c>
      <c r="M252" s="6">
        <v>1133</v>
      </c>
      <c r="N252" s="6">
        <v>3399</v>
      </c>
      <c r="O252" s="7">
        <v>0.05</v>
      </c>
      <c r="P252" s="8">
        <f t="shared" si="6"/>
        <v>169.95000000000002</v>
      </c>
      <c r="Q252" s="9">
        <f t="shared" si="7"/>
        <v>3229.05</v>
      </c>
      <c r="R252" s="5">
        <v>64</v>
      </c>
      <c r="S252" s="5" t="s">
        <v>2034</v>
      </c>
      <c r="T252" s="5" t="s">
        <v>2035</v>
      </c>
    </row>
    <row r="253" spans="1:20" x14ac:dyDescent="0.25">
      <c r="A253" s="5" t="s">
        <v>266</v>
      </c>
      <c r="B253" s="10">
        <v>45556</v>
      </c>
      <c r="C253" s="5" t="s">
        <v>1020</v>
      </c>
      <c r="D253" s="11" t="s">
        <v>1272</v>
      </c>
      <c r="E253" s="5" t="s">
        <v>2308</v>
      </c>
      <c r="F253" s="5">
        <v>33</v>
      </c>
      <c r="G253" s="5" t="str" cm="1">
        <f t="array" ref="G253">_xlfn.IFS(F253&lt;12,"Child",F253&lt;18,"Teen",F253&lt;25,"Young",F253&lt;40,"Adult",F253&lt;60,"Middle Age",F253&gt;=60,"Old")</f>
        <v>Adult</v>
      </c>
      <c r="H253" s="5" t="s">
        <v>2044</v>
      </c>
      <c r="I253" s="5" t="s">
        <v>2053</v>
      </c>
      <c r="J253" s="5" t="s">
        <v>2020</v>
      </c>
      <c r="K253" s="5" t="str">
        <f>VLOOKUP(J253,Sheet2!$A$1:$B$11,2,FALSE)</f>
        <v>Summer Wear</v>
      </c>
      <c r="L253" s="5">
        <v>2</v>
      </c>
      <c r="M253" s="6">
        <v>1171</v>
      </c>
      <c r="N253" s="6">
        <v>2342</v>
      </c>
      <c r="O253" s="7">
        <v>0.2</v>
      </c>
      <c r="P253" s="8">
        <f t="shared" si="6"/>
        <v>468.40000000000003</v>
      </c>
      <c r="Q253" s="9">
        <f t="shared" si="7"/>
        <v>1873.6</v>
      </c>
      <c r="R253" s="5">
        <v>37</v>
      </c>
      <c r="S253" s="5" t="s">
        <v>2032</v>
      </c>
      <c r="T253" s="5" t="s">
        <v>2037</v>
      </c>
    </row>
    <row r="254" spans="1:20" x14ac:dyDescent="0.25">
      <c r="A254" s="5" t="s">
        <v>267</v>
      </c>
      <c r="B254" s="10">
        <v>45571</v>
      </c>
      <c r="C254" s="5" t="s">
        <v>1015</v>
      </c>
      <c r="D254" s="11" t="s">
        <v>1273</v>
      </c>
      <c r="E254" s="5" t="s">
        <v>2309</v>
      </c>
      <c r="F254" s="5">
        <v>54</v>
      </c>
      <c r="G254" s="5" t="str" cm="1">
        <f t="array" ref="G254">_xlfn.IFS(F254&lt;12,"Child",F254&lt;18,"Teen",F254&lt;25,"Young",F254&lt;40,"Adult",F254&lt;60,"Middle Age",F254&gt;=60,"Old")</f>
        <v>Middle Age</v>
      </c>
      <c r="H254" s="5" t="s">
        <v>2044</v>
      </c>
      <c r="I254" s="5" t="s">
        <v>2046</v>
      </c>
      <c r="J254" s="5" t="s">
        <v>2021</v>
      </c>
      <c r="K254" s="5" t="str">
        <f>VLOOKUP(J254,Sheet2!$A$1:$B$11,2,FALSE)</f>
        <v>Casual Wear</v>
      </c>
      <c r="L254" s="5">
        <v>2</v>
      </c>
      <c r="M254" s="6">
        <v>808</v>
      </c>
      <c r="N254" s="6">
        <v>1616</v>
      </c>
      <c r="O254" s="7">
        <v>0.2</v>
      </c>
      <c r="P254" s="8">
        <f t="shared" si="6"/>
        <v>323.20000000000005</v>
      </c>
      <c r="Q254" s="9">
        <f t="shared" si="7"/>
        <v>1292.8</v>
      </c>
      <c r="R254" s="5">
        <v>25</v>
      </c>
      <c r="S254" s="5" t="s">
        <v>2034</v>
      </c>
      <c r="T254" s="5" t="s">
        <v>2035</v>
      </c>
    </row>
    <row r="255" spans="1:20" x14ac:dyDescent="0.25">
      <c r="A255" s="5" t="s">
        <v>268</v>
      </c>
      <c r="B255" s="10">
        <v>45508</v>
      </c>
      <c r="C255" s="5" t="s">
        <v>1015</v>
      </c>
      <c r="D255" s="11" t="s">
        <v>1274</v>
      </c>
      <c r="E255" s="5" t="s">
        <v>2310</v>
      </c>
      <c r="F255" s="5">
        <v>25</v>
      </c>
      <c r="G255" s="5" t="str" cm="1">
        <f t="array" ref="G255">_xlfn.IFS(F255&lt;12,"Child",F255&lt;18,"Teen",F255&lt;25,"Young",F255&lt;40,"Adult",F255&lt;60,"Middle Age",F255&gt;=60,"Old")</f>
        <v>Adult</v>
      </c>
      <c r="H255" s="5" t="s">
        <v>2043</v>
      </c>
      <c r="I255" s="5" t="s">
        <v>2048</v>
      </c>
      <c r="J255" s="5" t="s">
        <v>2016</v>
      </c>
      <c r="K255" s="5" t="str">
        <f>VLOOKUP(J255,Sheet2!$A$1:$B$11,2,FALSE)</f>
        <v>Winter Wear</v>
      </c>
      <c r="L255" s="5">
        <v>2</v>
      </c>
      <c r="M255" s="6">
        <v>900</v>
      </c>
      <c r="N255" s="6">
        <v>1800</v>
      </c>
      <c r="O255" s="7">
        <v>0.15</v>
      </c>
      <c r="P255" s="8">
        <f t="shared" si="6"/>
        <v>270</v>
      </c>
      <c r="Q255" s="9">
        <f t="shared" si="7"/>
        <v>1530</v>
      </c>
      <c r="R255" s="5">
        <v>30</v>
      </c>
      <c r="S255" s="5" t="s">
        <v>2033</v>
      </c>
      <c r="T255" s="5" t="s">
        <v>2036</v>
      </c>
    </row>
    <row r="256" spans="1:20" x14ac:dyDescent="0.25">
      <c r="A256" s="5" t="s">
        <v>269</v>
      </c>
      <c r="B256" s="10">
        <v>45387</v>
      </c>
      <c r="C256" s="5" t="s">
        <v>1014</v>
      </c>
      <c r="D256" s="11" t="s">
        <v>1275</v>
      </c>
      <c r="E256" s="5" t="s">
        <v>2311</v>
      </c>
      <c r="F256" s="5">
        <v>46</v>
      </c>
      <c r="G256" s="5" t="str" cm="1">
        <f t="array" ref="G256">_xlfn.IFS(F256&lt;12,"Child",F256&lt;18,"Teen",F256&lt;25,"Young",F256&lt;40,"Adult",F256&lt;60,"Middle Age",F256&gt;=60,"Old")</f>
        <v>Middle Age</v>
      </c>
      <c r="H256" s="5" t="s">
        <v>2044</v>
      </c>
      <c r="I256" s="5" t="s">
        <v>2051</v>
      </c>
      <c r="J256" s="5" t="s">
        <v>2019</v>
      </c>
      <c r="K256" s="5" t="str">
        <f>VLOOKUP(J256,Sheet2!$A$1:$B$11,2,FALSE)</f>
        <v>Formal Wear</v>
      </c>
      <c r="L256" s="5">
        <v>3</v>
      </c>
      <c r="M256" s="6">
        <v>582</v>
      </c>
      <c r="N256" s="6">
        <v>1746</v>
      </c>
      <c r="O256" s="7">
        <v>0.2</v>
      </c>
      <c r="P256" s="8">
        <f t="shared" si="6"/>
        <v>349.20000000000005</v>
      </c>
      <c r="Q256" s="9">
        <f t="shared" si="7"/>
        <v>1396.8</v>
      </c>
      <c r="R256" s="5">
        <v>27</v>
      </c>
      <c r="S256" s="5" t="s">
        <v>2032</v>
      </c>
      <c r="T256" s="5" t="s">
        <v>2036</v>
      </c>
    </row>
    <row r="257" spans="1:20" x14ac:dyDescent="0.25">
      <c r="A257" s="5" t="s">
        <v>270</v>
      </c>
      <c r="B257" s="10">
        <v>45577</v>
      </c>
      <c r="C257" s="5" t="s">
        <v>1020</v>
      </c>
      <c r="D257" s="11" t="s">
        <v>1276</v>
      </c>
      <c r="E257" s="5" t="s">
        <v>2312</v>
      </c>
      <c r="F257" s="5">
        <v>48</v>
      </c>
      <c r="G257" s="5" t="str" cm="1">
        <f t="array" ref="G257">_xlfn.IFS(F257&lt;12,"Child",F257&lt;18,"Teen",F257&lt;25,"Young",F257&lt;40,"Adult",F257&lt;60,"Middle Age",F257&gt;=60,"Old")</f>
        <v>Middle Age</v>
      </c>
      <c r="H257" s="5" t="s">
        <v>2044</v>
      </c>
      <c r="I257" s="5" t="s">
        <v>2052</v>
      </c>
      <c r="J257" s="5" t="s">
        <v>2017</v>
      </c>
      <c r="K257" s="5" t="str">
        <f>VLOOKUP(J257,Sheet2!$A$1:$B$11,2,FALSE)</f>
        <v>Casual Wear</v>
      </c>
      <c r="L257" s="5">
        <v>2</v>
      </c>
      <c r="M257" s="6">
        <v>373</v>
      </c>
      <c r="N257" s="6">
        <v>746</v>
      </c>
      <c r="O257" s="7">
        <v>0.15</v>
      </c>
      <c r="P257" s="8">
        <f t="shared" si="6"/>
        <v>111.89999999999999</v>
      </c>
      <c r="Q257" s="9">
        <f t="shared" si="7"/>
        <v>634.1</v>
      </c>
      <c r="R257" s="5">
        <v>12</v>
      </c>
      <c r="S257" s="5" t="s">
        <v>2034</v>
      </c>
      <c r="T257" s="5" t="s">
        <v>2036</v>
      </c>
    </row>
    <row r="258" spans="1:20" x14ac:dyDescent="0.25">
      <c r="A258" s="5" t="s">
        <v>271</v>
      </c>
      <c r="B258" s="10">
        <v>45452</v>
      </c>
      <c r="C258" s="5" t="s">
        <v>1015</v>
      </c>
      <c r="D258" s="11" t="s">
        <v>1277</v>
      </c>
      <c r="E258" s="5" t="s">
        <v>2313</v>
      </c>
      <c r="F258" s="5">
        <v>35</v>
      </c>
      <c r="G258" s="5" t="str" cm="1">
        <f t="array" ref="G258">_xlfn.IFS(F258&lt;12,"Child",F258&lt;18,"Teen",F258&lt;25,"Young",F258&lt;40,"Adult",F258&lt;60,"Middle Age",F258&gt;=60,"Old")</f>
        <v>Adult</v>
      </c>
      <c r="H258" s="5" t="s">
        <v>2043</v>
      </c>
      <c r="I258" s="5" t="s">
        <v>2015</v>
      </c>
      <c r="J258" s="5" t="s">
        <v>2021</v>
      </c>
      <c r="K258" s="5" t="str">
        <f>VLOOKUP(J258,Sheet2!$A$1:$B$11,2,FALSE)</f>
        <v>Casual Wear</v>
      </c>
      <c r="L258" s="5">
        <v>1</v>
      </c>
      <c r="M258" s="6">
        <v>1133</v>
      </c>
      <c r="N258" s="6">
        <v>1133</v>
      </c>
      <c r="O258" s="7">
        <v>0.15</v>
      </c>
      <c r="P258" s="8">
        <f t="shared" si="6"/>
        <v>169.95</v>
      </c>
      <c r="Q258" s="9">
        <f t="shared" si="7"/>
        <v>963.05</v>
      </c>
      <c r="R258" s="5">
        <v>19</v>
      </c>
      <c r="S258" s="5" t="s">
        <v>2033</v>
      </c>
      <c r="T258" s="5" t="s">
        <v>2037</v>
      </c>
    </row>
    <row r="259" spans="1:20" x14ac:dyDescent="0.25">
      <c r="A259" s="5" t="s">
        <v>272</v>
      </c>
      <c r="B259" s="10">
        <v>45529</v>
      </c>
      <c r="C259" s="5" t="s">
        <v>1015</v>
      </c>
      <c r="D259" s="11" t="s">
        <v>1278</v>
      </c>
      <c r="E259" s="5" t="s">
        <v>2314</v>
      </c>
      <c r="F259" s="5">
        <v>46</v>
      </c>
      <c r="G259" s="5" t="str" cm="1">
        <f t="array" ref="G259">_xlfn.IFS(F259&lt;12,"Child",F259&lt;18,"Teen",F259&lt;25,"Young",F259&lt;40,"Adult",F259&lt;60,"Middle Age",F259&gt;=60,"Old")</f>
        <v>Middle Age</v>
      </c>
      <c r="H259" s="5" t="s">
        <v>2043</v>
      </c>
      <c r="I259" s="5" t="s">
        <v>2053</v>
      </c>
      <c r="J259" s="5" t="s">
        <v>2016</v>
      </c>
      <c r="K259" s="5" t="str">
        <f>VLOOKUP(J259,Sheet2!$A$1:$B$11,2,FALSE)</f>
        <v>Winter Wear</v>
      </c>
      <c r="L259" s="5">
        <v>2</v>
      </c>
      <c r="M259" s="6">
        <v>517</v>
      </c>
      <c r="N259" s="6">
        <v>1034</v>
      </c>
      <c r="O259" s="7">
        <v>0.05</v>
      </c>
      <c r="P259" s="8">
        <f t="shared" ref="P259:P322" si="8">N259*O259</f>
        <v>51.7</v>
      </c>
      <c r="Q259" s="9">
        <f t="shared" ref="Q259:Q322" si="9">N259-P259</f>
        <v>982.3</v>
      </c>
      <c r="R259" s="5">
        <v>19</v>
      </c>
      <c r="S259" s="5" t="s">
        <v>2033</v>
      </c>
      <c r="T259" s="5" t="s">
        <v>2037</v>
      </c>
    </row>
    <row r="260" spans="1:20" x14ac:dyDescent="0.25">
      <c r="A260" s="5" t="s">
        <v>273</v>
      </c>
      <c r="B260" s="10">
        <v>45575</v>
      </c>
      <c r="C260" s="5" t="s">
        <v>1018</v>
      </c>
      <c r="D260" s="11" t="s">
        <v>1279</v>
      </c>
      <c r="E260" s="5" t="s">
        <v>2315</v>
      </c>
      <c r="F260" s="5">
        <v>53</v>
      </c>
      <c r="G260" s="5" t="str" cm="1">
        <f t="array" ref="G260">_xlfn.IFS(F260&lt;12,"Child",F260&lt;18,"Teen",F260&lt;25,"Young",F260&lt;40,"Adult",F260&lt;60,"Middle Age",F260&gt;=60,"Old")</f>
        <v>Middle Age</v>
      </c>
      <c r="H260" s="5" t="s">
        <v>2043</v>
      </c>
      <c r="I260" s="5" t="s">
        <v>2049</v>
      </c>
      <c r="J260" s="5" t="s">
        <v>2017</v>
      </c>
      <c r="K260" s="5" t="str">
        <f>VLOOKUP(J260,Sheet2!$A$1:$B$11,2,FALSE)</f>
        <v>Casual Wear</v>
      </c>
      <c r="L260" s="5">
        <v>2</v>
      </c>
      <c r="M260" s="6">
        <v>712</v>
      </c>
      <c r="N260" s="6">
        <v>1424</v>
      </c>
      <c r="O260" s="7">
        <v>0.15</v>
      </c>
      <c r="P260" s="8">
        <f t="shared" si="8"/>
        <v>213.6</v>
      </c>
      <c r="Q260" s="9">
        <f t="shared" si="9"/>
        <v>1210.4000000000001</v>
      </c>
      <c r="R260" s="5">
        <v>24</v>
      </c>
      <c r="S260" s="5" t="s">
        <v>2032</v>
      </c>
      <c r="T260" s="5" t="s">
        <v>2036</v>
      </c>
    </row>
    <row r="261" spans="1:20" x14ac:dyDescent="0.25">
      <c r="A261" s="5" t="s">
        <v>274</v>
      </c>
      <c r="B261" s="10">
        <v>45693</v>
      </c>
      <c r="C261" s="5" t="s">
        <v>1017</v>
      </c>
      <c r="D261" s="11" t="s">
        <v>1280</v>
      </c>
      <c r="E261" s="5" t="s">
        <v>2316</v>
      </c>
      <c r="F261" s="5">
        <v>36</v>
      </c>
      <c r="G261" s="5" t="str" cm="1">
        <f t="array" ref="G261">_xlfn.IFS(F261&lt;12,"Child",F261&lt;18,"Teen",F261&lt;25,"Young",F261&lt;40,"Adult",F261&lt;60,"Middle Age",F261&gt;=60,"Old")</f>
        <v>Adult</v>
      </c>
      <c r="H261" s="5" t="s">
        <v>2043</v>
      </c>
      <c r="I261" s="5" t="s">
        <v>2050</v>
      </c>
      <c r="J261" s="5" t="s">
        <v>2020</v>
      </c>
      <c r="K261" s="5" t="str">
        <f>VLOOKUP(J261,Sheet2!$A$1:$B$11,2,FALSE)</f>
        <v>Summer Wear</v>
      </c>
      <c r="L261" s="5">
        <v>4</v>
      </c>
      <c r="M261" s="6">
        <v>239</v>
      </c>
      <c r="N261" s="6">
        <v>956</v>
      </c>
      <c r="O261" s="7">
        <v>0.15</v>
      </c>
      <c r="P261" s="8">
        <f t="shared" si="8"/>
        <v>143.4</v>
      </c>
      <c r="Q261" s="9">
        <f t="shared" si="9"/>
        <v>812.6</v>
      </c>
      <c r="R261" s="5">
        <v>16</v>
      </c>
      <c r="S261" s="5" t="s">
        <v>2033</v>
      </c>
      <c r="T261" s="5" t="s">
        <v>2037</v>
      </c>
    </row>
    <row r="262" spans="1:20" x14ac:dyDescent="0.25">
      <c r="A262" s="5" t="s">
        <v>275</v>
      </c>
      <c r="B262" s="10">
        <v>45389</v>
      </c>
      <c r="C262" s="5" t="s">
        <v>1015</v>
      </c>
      <c r="D262" s="11" t="s">
        <v>1281</v>
      </c>
      <c r="E262" s="5" t="s">
        <v>2317</v>
      </c>
      <c r="F262" s="5">
        <v>24</v>
      </c>
      <c r="G262" s="5" t="str" cm="1">
        <f t="array" ref="G262">_xlfn.IFS(F262&lt;12,"Child",F262&lt;18,"Teen",F262&lt;25,"Young",F262&lt;40,"Adult",F262&lt;60,"Middle Age",F262&gt;=60,"Old")</f>
        <v>Young</v>
      </c>
      <c r="H262" s="5" t="s">
        <v>2044</v>
      </c>
      <c r="I262" s="5" t="s">
        <v>2053</v>
      </c>
      <c r="J262" s="5" t="s">
        <v>2016</v>
      </c>
      <c r="K262" s="5" t="str">
        <f>VLOOKUP(J262,Sheet2!$A$1:$B$11,2,FALSE)</f>
        <v>Winter Wear</v>
      </c>
      <c r="L262" s="5">
        <v>1</v>
      </c>
      <c r="M262" s="6">
        <v>542</v>
      </c>
      <c r="N262" s="6">
        <v>542</v>
      </c>
      <c r="O262" s="7">
        <v>0.2</v>
      </c>
      <c r="P262" s="8">
        <f t="shared" si="8"/>
        <v>108.4</v>
      </c>
      <c r="Q262" s="9">
        <f t="shared" si="9"/>
        <v>433.6</v>
      </c>
      <c r="R262" s="5">
        <v>8</v>
      </c>
      <c r="S262" s="5" t="s">
        <v>2032</v>
      </c>
      <c r="T262" s="5" t="s">
        <v>2036</v>
      </c>
    </row>
    <row r="263" spans="1:20" x14ac:dyDescent="0.25">
      <c r="A263" s="5" t="s">
        <v>276</v>
      </c>
      <c r="B263" s="10">
        <v>45478</v>
      </c>
      <c r="C263" s="5" t="s">
        <v>1014</v>
      </c>
      <c r="D263" s="11" t="s">
        <v>1282</v>
      </c>
      <c r="E263" s="5" t="s">
        <v>2318</v>
      </c>
      <c r="F263" s="5">
        <v>20</v>
      </c>
      <c r="G263" s="5" t="str" cm="1">
        <f t="array" ref="G263">_xlfn.IFS(F263&lt;12,"Child",F263&lt;18,"Teen",F263&lt;25,"Young",F263&lt;40,"Adult",F263&lt;60,"Middle Age",F263&gt;=60,"Old")</f>
        <v>Young</v>
      </c>
      <c r="H263" s="5" t="s">
        <v>2043</v>
      </c>
      <c r="I263" s="5" t="s">
        <v>2045</v>
      </c>
      <c r="J263" s="5" t="s">
        <v>2020</v>
      </c>
      <c r="K263" s="5" t="str">
        <f>VLOOKUP(J263,Sheet2!$A$1:$B$11,2,FALSE)</f>
        <v>Summer Wear</v>
      </c>
      <c r="L263" s="5">
        <v>5</v>
      </c>
      <c r="M263" s="6">
        <v>647</v>
      </c>
      <c r="N263" s="6">
        <v>3235</v>
      </c>
      <c r="O263" s="7">
        <v>0</v>
      </c>
      <c r="P263" s="8">
        <f t="shared" si="8"/>
        <v>0</v>
      </c>
      <c r="Q263" s="9">
        <f t="shared" si="9"/>
        <v>3235</v>
      </c>
      <c r="R263" s="5">
        <v>64</v>
      </c>
      <c r="S263" s="5" t="s">
        <v>2033</v>
      </c>
      <c r="T263" s="5" t="s">
        <v>2037</v>
      </c>
    </row>
    <row r="264" spans="1:20" x14ac:dyDescent="0.25">
      <c r="A264" s="5" t="s">
        <v>277</v>
      </c>
      <c r="B264" s="10">
        <v>45515</v>
      </c>
      <c r="C264" s="5" t="s">
        <v>1015</v>
      </c>
      <c r="D264" s="11" t="s">
        <v>1283</v>
      </c>
      <c r="E264" s="5" t="s">
        <v>2319</v>
      </c>
      <c r="F264" s="5">
        <v>29</v>
      </c>
      <c r="G264" s="5" t="str" cm="1">
        <f t="array" ref="G264">_xlfn.IFS(F264&lt;12,"Child",F264&lt;18,"Teen",F264&lt;25,"Young",F264&lt;40,"Adult",F264&lt;60,"Middle Age",F264&gt;=60,"Old")</f>
        <v>Adult</v>
      </c>
      <c r="H264" s="5" t="s">
        <v>2044</v>
      </c>
      <c r="I264" s="5" t="s">
        <v>2048</v>
      </c>
      <c r="J264" s="5" t="s">
        <v>2017</v>
      </c>
      <c r="K264" s="5" t="str">
        <f>VLOOKUP(J264,Sheet2!$A$1:$B$11,2,FALSE)</f>
        <v>Casual Wear</v>
      </c>
      <c r="L264" s="5">
        <v>1</v>
      </c>
      <c r="M264" s="6">
        <v>708</v>
      </c>
      <c r="N264" s="6">
        <v>708</v>
      </c>
      <c r="O264" s="7">
        <v>0.2</v>
      </c>
      <c r="P264" s="8">
        <f t="shared" si="8"/>
        <v>141.6</v>
      </c>
      <c r="Q264" s="9">
        <f t="shared" si="9"/>
        <v>566.4</v>
      </c>
      <c r="R264" s="5">
        <v>11</v>
      </c>
      <c r="S264" s="5" t="s">
        <v>2034</v>
      </c>
      <c r="T264" s="5" t="s">
        <v>2035</v>
      </c>
    </row>
    <row r="265" spans="1:20" x14ac:dyDescent="0.25">
      <c r="A265" s="5" t="s">
        <v>278</v>
      </c>
      <c r="B265" s="10">
        <v>45522</v>
      </c>
      <c r="C265" s="5" t="s">
        <v>1015</v>
      </c>
      <c r="D265" s="11" t="s">
        <v>1284</v>
      </c>
      <c r="E265" s="5" t="s">
        <v>2320</v>
      </c>
      <c r="F265" s="5">
        <v>43</v>
      </c>
      <c r="G265" s="5" t="str" cm="1">
        <f t="array" ref="G265">_xlfn.IFS(F265&lt;12,"Child",F265&lt;18,"Teen",F265&lt;25,"Young",F265&lt;40,"Adult",F265&lt;60,"Middle Age",F265&gt;=60,"Old")</f>
        <v>Middle Age</v>
      </c>
      <c r="H265" s="5" t="s">
        <v>2043</v>
      </c>
      <c r="I265" s="5" t="s">
        <v>2053</v>
      </c>
      <c r="J265" s="5" t="s">
        <v>2016</v>
      </c>
      <c r="K265" s="5" t="str">
        <f>VLOOKUP(J265,Sheet2!$A$1:$B$11,2,FALSE)</f>
        <v>Winter Wear</v>
      </c>
      <c r="L265" s="5">
        <v>4</v>
      </c>
      <c r="M265" s="6">
        <v>1119</v>
      </c>
      <c r="N265" s="6">
        <v>4476</v>
      </c>
      <c r="O265" s="7">
        <v>0.2</v>
      </c>
      <c r="P265" s="8">
        <f t="shared" si="8"/>
        <v>895.2</v>
      </c>
      <c r="Q265" s="9">
        <f t="shared" si="9"/>
        <v>3580.8</v>
      </c>
      <c r="R265" s="5">
        <v>71</v>
      </c>
      <c r="S265" s="5" t="s">
        <v>2033</v>
      </c>
      <c r="T265" s="5" t="s">
        <v>2035</v>
      </c>
    </row>
    <row r="266" spans="1:20" x14ac:dyDescent="0.25">
      <c r="A266" s="5" t="s">
        <v>279</v>
      </c>
      <c r="B266" s="10">
        <v>45412</v>
      </c>
      <c r="C266" s="5" t="s">
        <v>1019</v>
      </c>
      <c r="D266" s="11" t="s">
        <v>1285</v>
      </c>
      <c r="E266" s="5" t="s">
        <v>2321</v>
      </c>
      <c r="F266" s="5">
        <v>41</v>
      </c>
      <c r="G266" s="5" t="str" cm="1">
        <f t="array" ref="G266">_xlfn.IFS(F266&lt;12,"Child",F266&lt;18,"Teen",F266&lt;25,"Young",F266&lt;40,"Adult",F266&lt;60,"Middle Age",F266&gt;=60,"Old")</f>
        <v>Middle Age</v>
      </c>
      <c r="H266" s="5" t="s">
        <v>2044</v>
      </c>
      <c r="I266" s="5" t="s">
        <v>2050</v>
      </c>
      <c r="J266" s="5" t="s">
        <v>2022</v>
      </c>
      <c r="K266" s="5" t="str">
        <f>VLOOKUP(J266,Sheet2!$A$1:$B$11,2,FALSE)</f>
        <v>Sportswear</v>
      </c>
      <c r="L266" s="5">
        <v>1</v>
      </c>
      <c r="M266" s="6">
        <v>1090</v>
      </c>
      <c r="N266" s="6">
        <v>1090</v>
      </c>
      <c r="O266" s="7">
        <v>0.2</v>
      </c>
      <c r="P266" s="8">
        <f t="shared" si="8"/>
        <v>218</v>
      </c>
      <c r="Q266" s="9">
        <f t="shared" si="9"/>
        <v>872</v>
      </c>
      <c r="R266" s="5">
        <v>17</v>
      </c>
      <c r="S266" s="5" t="s">
        <v>2033</v>
      </c>
      <c r="T266" s="5" t="s">
        <v>2035</v>
      </c>
    </row>
    <row r="267" spans="1:20" x14ac:dyDescent="0.25">
      <c r="A267" s="5" t="s">
        <v>280</v>
      </c>
      <c r="B267" s="10">
        <v>45669</v>
      </c>
      <c r="C267" s="5" t="s">
        <v>1015</v>
      </c>
      <c r="D267" s="11" t="s">
        <v>1286</v>
      </c>
      <c r="E267" s="5" t="s">
        <v>2322</v>
      </c>
      <c r="F267" s="5">
        <v>44</v>
      </c>
      <c r="G267" s="5" t="str" cm="1">
        <f t="array" ref="G267">_xlfn.IFS(F267&lt;12,"Child",F267&lt;18,"Teen",F267&lt;25,"Young",F267&lt;40,"Adult",F267&lt;60,"Middle Age",F267&gt;=60,"Old")</f>
        <v>Middle Age</v>
      </c>
      <c r="H267" s="5" t="s">
        <v>2044</v>
      </c>
      <c r="I267" s="5" t="s">
        <v>2045</v>
      </c>
      <c r="J267" s="5" t="s">
        <v>2019</v>
      </c>
      <c r="K267" s="5" t="str">
        <f>VLOOKUP(J267,Sheet2!$A$1:$B$11,2,FALSE)</f>
        <v>Formal Wear</v>
      </c>
      <c r="L267" s="5">
        <v>5</v>
      </c>
      <c r="M267" s="6">
        <v>946</v>
      </c>
      <c r="N267" s="6">
        <v>4730</v>
      </c>
      <c r="O267" s="7">
        <v>0.05</v>
      </c>
      <c r="P267" s="8">
        <f t="shared" si="8"/>
        <v>236.5</v>
      </c>
      <c r="Q267" s="9">
        <f t="shared" si="9"/>
        <v>4493.5</v>
      </c>
      <c r="R267" s="5">
        <v>89</v>
      </c>
      <c r="S267" s="5" t="s">
        <v>2033</v>
      </c>
      <c r="T267" s="5" t="s">
        <v>2036</v>
      </c>
    </row>
    <row r="268" spans="1:20" x14ac:dyDescent="0.25">
      <c r="A268" s="5" t="s">
        <v>281</v>
      </c>
      <c r="B268" s="10">
        <v>45383</v>
      </c>
      <c r="C268" s="5" t="s">
        <v>1016</v>
      </c>
      <c r="D268" s="11" t="s">
        <v>1287</v>
      </c>
      <c r="E268" s="5" t="s">
        <v>2323</v>
      </c>
      <c r="F268" s="5">
        <v>30</v>
      </c>
      <c r="G268" s="5" t="str" cm="1">
        <f t="array" ref="G268">_xlfn.IFS(F268&lt;12,"Child",F268&lt;18,"Teen",F268&lt;25,"Young",F268&lt;40,"Adult",F268&lt;60,"Middle Age",F268&gt;=60,"Old")</f>
        <v>Adult</v>
      </c>
      <c r="H268" s="5" t="s">
        <v>2044</v>
      </c>
      <c r="I268" s="5" t="s">
        <v>2047</v>
      </c>
      <c r="J268" s="5" t="s">
        <v>2017</v>
      </c>
      <c r="K268" s="5" t="str">
        <f>VLOOKUP(J268,Sheet2!$A$1:$B$11,2,FALSE)</f>
        <v>Casual Wear</v>
      </c>
      <c r="L268" s="5">
        <v>2</v>
      </c>
      <c r="M268" s="6">
        <v>1047</v>
      </c>
      <c r="N268" s="6">
        <v>2094</v>
      </c>
      <c r="O268" s="7">
        <v>0.15</v>
      </c>
      <c r="P268" s="8">
        <f t="shared" si="8"/>
        <v>314.09999999999997</v>
      </c>
      <c r="Q268" s="9">
        <f t="shared" si="9"/>
        <v>1779.9</v>
      </c>
      <c r="R268" s="5">
        <v>35</v>
      </c>
      <c r="S268" s="5" t="s">
        <v>2033</v>
      </c>
      <c r="T268" s="5" t="s">
        <v>2037</v>
      </c>
    </row>
    <row r="269" spans="1:20" x14ac:dyDescent="0.25">
      <c r="A269" s="5" t="s">
        <v>282</v>
      </c>
      <c r="B269" s="10">
        <v>45512</v>
      </c>
      <c r="C269" s="5" t="s">
        <v>1018</v>
      </c>
      <c r="D269" s="11" t="s">
        <v>1288</v>
      </c>
      <c r="E269" s="5" t="s">
        <v>2324</v>
      </c>
      <c r="F269" s="5">
        <v>45</v>
      </c>
      <c r="G269" s="5" t="str" cm="1">
        <f t="array" ref="G269">_xlfn.IFS(F269&lt;12,"Child",F269&lt;18,"Teen",F269&lt;25,"Young",F269&lt;40,"Adult",F269&lt;60,"Middle Age",F269&gt;=60,"Old")</f>
        <v>Middle Age</v>
      </c>
      <c r="H269" s="5" t="s">
        <v>2044</v>
      </c>
      <c r="I269" s="5" t="s">
        <v>2052</v>
      </c>
      <c r="J269" s="5" t="s">
        <v>2019</v>
      </c>
      <c r="K269" s="5" t="str">
        <f>VLOOKUP(J269,Sheet2!$A$1:$B$11,2,FALSE)</f>
        <v>Formal Wear</v>
      </c>
      <c r="L269" s="5">
        <v>2</v>
      </c>
      <c r="M269" s="6">
        <v>664</v>
      </c>
      <c r="N269" s="6">
        <v>1328</v>
      </c>
      <c r="O269" s="7">
        <v>0.1</v>
      </c>
      <c r="P269" s="8">
        <f t="shared" si="8"/>
        <v>132.80000000000001</v>
      </c>
      <c r="Q269" s="9">
        <f t="shared" si="9"/>
        <v>1195.2</v>
      </c>
      <c r="R269" s="5">
        <v>23</v>
      </c>
      <c r="S269" s="5" t="s">
        <v>2032</v>
      </c>
      <c r="T269" s="5" t="s">
        <v>2036</v>
      </c>
    </row>
    <row r="270" spans="1:20" x14ac:dyDescent="0.25">
      <c r="A270" s="5" t="s">
        <v>283</v>
      </c>
      <c r="B270" s="10">
        <v>45421</v>
      </c>
      <c r="C270" s="5" t="s">
        <v>1018</v>
      </c>
      <c r="D270" s="11" t="s">
        <v>1289</v>
      </c>
      <c r="E270" s="5" t="s">
        <v>2325</v>
      </c>
      <c r="F270" s="5">
        <v>59</v>
      </c>
      <c r="G270" s="5" t="str" cm="1">
        <f t="array" ref="G270">_xlfn.IFS(F270&lt;12,"Child",F270&lt;18,"Teen",F270&lt;25,"Young",F270&lt;40,"Adult",F270&lt;60,"Middle Age",F270&gt;=60,"Old")</f>
        <v>Middle Age</v>
      </c>
      <c r="H270" s="5" t="s">
        <v>2043</v>
      </c>
      <c r="I270" s="5" t="s">
        <v>2052</v>
      </c>
      <c r="J270" s="5" t="s">
        <v>2025</v>
      </c>
      <c r="K270" s="5" t="str">
        <f>VLOOKUP(J270,Sheet2!$A$1:$B$11,2,FALSE)</f>
        <v>Formal Wear</v>
      </c>
      <c r="L270" s="5">
        <v>2</v>
      </c>
      <c r="M270" s="6">
        <v>366</v>
      </c>
      <c r="N270" s="6">
        <v>732</v>
      </c>
      <c r="O270" s="7">
        <v>0</v>
      </c>
      <c r="P270" s="8">
        <f t="shared" si="8"/>
        <v>0</v>
      </c>
      <c r="Q270" s="9">
        <f t="shared" si="9"/>
        <v>732</v>
      </c>
      <c r="R270" s="5">
        <v>14</v>
      </c>
      <c r="S270" s="5" t="s">
        <v>2033</v>
      </c>
      <c r="T270" s="5" t="s">
        <v>2037</v>
      </c>
    </row>
    <row r="271" spans="1:20" x14ac:dyDescent="0.25">
      <c r="A271" s="5" t="s">
        <v>284</v>
      </c>
      <c r="B271" s="10">
        <v>45455</v>
      </c>
      <c r="C271" s="5" t="s">
        <v>1017</v>
      </c>
      <c r="D271" s="11" t="s">
        <v>1290</v>
      </c>
      <c r="E271" s="5" t="s">
        <v>2326</v>
      </c>
      <c r="F271" s="5">
        <v>47</v>
      </c>
      <c r="G271" s="5" t="str" cm="1">
        <f t="array" ref="G271">_xlfn.IFS(F271&lt;12,"Child",F271&lt;18,"Teen",F271&lt;25,"Young",F271&lt;40,"Adult",F271&lt;60,"Middle Age",F271&gt;=60,"Old")</f>
        <v>Middle Age</v>
      </c>
      <c r="H271" s="5" t="s">
        <v>2044</v>
      </c>
      <c r="I271" s="5" t="s">
        <v>2045</v>
      </c>
      <c r="J271" s="5" t="s">
        <v>2024</v>
      </c>
      <c r="K271" s="5" t="str">
        <f>VLOOKUP(J271,Sheet2!$A$1:$B$11,2,FALSE)</f>
        <v>Fashion Accessories</v>
      </c>
      <c r="L271" s="5">
        <v>4</v>
      </c>
      <c r="M271" s="6">
        <v>570</v>
      </c>
      <c r="N271" s="6">
        <v>2280</v>
      </c>
      <c r="O271" s="7">
        <v>0.2</v>
      </c>
      <c r="P271" s="8">
        <f t="shared" si="8"/>
        <v>456</v>
      </c>
      <c r="Q271" s="9">
        <f t="shared" si="9"/>
        <v>1824</v>
      </c>
      <c r="R271" s="5">
        <v>36</v>
      </c>
      <c r="S271" s="5" t="s">
        <v>2033</v>
      </c>
      <c r="T271" s="5" t="s">
        <v>2035</v>
      </c>
    </row>
    <row r="272" spans="1:20" x14ac:dyDescent="0.25">
      <c r="A272" s="5" t="s">
        <v>285</v>
      </c>
      <c r="B272" s="10">
        <v>45609</v>
      </c>
      <c r="C272" s="5" t="s">
        <v>1017</v>
      </c>
      <c r="D272" s="11" t="s">
        <v>1291</v>
      </c>
      <c r="E272" s="5" t="s">
        <v>2327</v>
      </c>
      <c r="F272" s="5">
        <v>60</v>
      </c>
      <c r="G272" s="5" t="str" cm="1">
        <f t="array" ref="G272">_xlfn.IFS(F272&lt;12,"Child",F272&lt;18,"Teen",F272&lt;25,"Young",F272&lt;40,"Adult",F272&lt;60,"Middle Age",F272&gt;=60,"Old")</f>
        <v>Old</v>
      </c>
      <c r="H272" s="5" t="s">
        <v>2043</v>
      </c>
      <c r="I272" s="5" t="s">
        <v>2053</v>
      </c>
      <c r="J272" s="5" t="s">
        <v>2018</v>
      </c>
      <c r="K272" s="5" t="str">
        <f>VLOOKUP(J272,Sheet2!$A$1:$B$11,2,FALSE)</f>
        <v>Sportswear</v>
      </c>
      <c r="L272" s="5">
        <v>5</v>
      </c>
      <c r="M272" s="6">
        <v>497</v>
      </c>
      <c r="N272" s="6">
        <v>2485</v>
      </c>
      <c r="O272" s="7">
        <v>0.2</v>
      </c>
      <c r="P272" s="8">
        <f t="shared" si="8"/>
        <v>497</v>
      </c>
      <c r="Q272" s="9">
        <f t="shared" si="9"/>
        <v>1988</v>
      </c>
      <c r="R272" s="5">
        <v>39</v>
      </c>
      <c r="S272" s="5" t="s">
        <v>2032</v>
      </c>
      <c r="T272" s="5" t="s">
        <v>2036</v>
      </c>
    </row>
    <row r="273" spans="1:20" x14ac:dyDescent="0.25">
      <c r="A273" s="5" t="s">
        <v>286</v>
      </c>
      <c r="B273" s="10">
        <v>45608</v>
      </c>
      <c r="C273" s="5" t="s">
        <v>1019</v>
      </c>
      <c r="D273" s="11" t="s">
        <v>1292</v>
      </c>
      <c r="E273" s="5" t="s">
        <v>2328</v>
      </c>
      <c r="F273" s="5">
        <v>55</v>
      </c>
      <c r="G273" s="5" t="str" cm="1">
        <f t="array" ref="G273">_xlfn.IFS(F273&lt;12,"Child",F273&lt;18,"Teen",F273&lt;25,"Young",F273&lt;40,"Adult",F273&lt;60,"Middle Age",F273&gt;=60,"Old")</f>
        <v>Middle Age</v>
      </c>
      <c r="H273" s="5" t="s">
        <v>2044</v>
      </c>
      <c r="I273" s="5" t="s">
        <v>2052</v>
      </c>
      <c r="J273" s="5" t="s">
        <v>2018</v>
      </c>
      <c r="K273" s="5" t="str">
        <f>VLOOKUP(J273,Sheet2!$A$1:$B$11,2,FALSE)</f>
        <v>Sportswear</v>
      </c>
      <c r="L273" s="5">
        <v>5</v>
      </c>
      <c r="M273" s="6">
        <v>937</v>
      </c>
      <c r="N273" s="6">
        <v>4685</v>
      </c>
      <c r="O273" s="7">
        <v>0.15</v>
      </c>
      <c r="P273" s="8">
        <f t="shared" si="8"/>
        <v>702.75</v>
      </c>
      <c r="Q273" s="9">
        <f t="shared" si="9"/>
        <v>3982.25</v>
      </c>
      <c r="R273" s="5">
        <v>79</v>
      </c>
      <c r="S273" s="5" t="s">
        <v>2033</v>
      </c>
      <c r="T273" s="5" t="s">
        <v>2036</v>
      </c>
    </row>
    <row r="274" spans="1:20" x14ac:dyDescent="0.25">
      <c r="A274" s="5" t="s">
        <v>287</v>
      </c>
      <c r="B274" s="10">
        <v>45529</v>
      </c>
      <c r="C274" s="5" t="s">
        <v>1015</v>
      </c>
      <c r="D274" s="11" t="s">
        <v>1293</v>
      </c>
      <c r="E274" s="5" t="s">
        <v>2329</v>
      </c>
      <c r="F274" s="5">
        <v>28</v>
      </c>
      <c r="G274" s="5" t="str" cm="1">
        <f t="array" ref="G274">_xlfn.IFS(F274&lt;12,"Child",F274&lt;18,"Teen",F274&lt;25,"Young",F274&lt;40,"Adult",F274&lt;60,"Middle Age",F274&gt;=60,"Old")</f>
        <v>Adult</v>
      </c>
      <c r="H274" s="5" t="s">
        <v>2043</v>
      </c>
      <c r="I274" s="5" t="s">
        <v>2052</v>
      </c>
      <c r="J274" s="5" t="s">
        <v>2017</v>
      </c>
      <c r="K274" s="5" t="str">
        <f>VLOOKUP(J274,Sheet2!$A$1:$B$11,2,FALSE)</f>
        <v>Casual Wear</v>
      </c>
      <c r="L274" s="5">
        <v>2</v>
      </c>
      <c r="M274" s="6">
        <v>781</v>
      </c>
      <c r="N274" s="6">
        <v>1562</v>
      </c>
      <c r="O274" s="7">
        <v>0</v>
      </c>
      <c r="P274" s="8">
        <f t="shared" si="8"/>
        <v>0</v>
      </c>
      <c r="Q274" s="9">
        <f t="shared" si="9"/>
        <v>1562</v>
      </c>
      <c r="R274" s="5">
        <v>31</v>
      </c>
      <c r="S274" s="5" t="s">
        <v>2034</v>
      </c>
      <c r="T274" s="5" t="s">
        <v>2035</v>
      </c>
    </row>
    <row r="275" spans="1:20" x14ac:dyDescent="0.25">
      <c r="A275" s="5" t="s">
        <v>288</v>
      </c>
      <c r="B275" s="10">
        <v>45514</v>
      </c>
      <c r="C275" s="5" t="s">
        <v>1020</v>
      </c>
      <c r="D275" s="11" t="s">
        <v>1294</v>
      </c>
      <c r="E275" s="5" t="s">
        <v>2330</v>
      </c>
      <c r="F275" s="5">
        <v>58</v>
      </c>
      <c r="G275" s="5" t="str" cm="1">
        <f t="array" ref="G275">_xlfn.IFS(F275&lt;12,"Child",F275&lt;18,"Teen",F275&lt;25,"Young",F275&lt;40,"Adult",F275&lt;60,"Middle Age",F275&gt;=60,"Old")</f>
        <v>Middle Age</v>
      </c>
      <c r="H275" s="5" t="s">
        <v>2043</v>
      </c>
      <c r="I275" s="5" t="s">
        <v>2053</v>
      </c>
      <c r="J275" s="5" t="s">
        <v>2023</v>
      </c>
      <c r="K275" s="5" t="str">
        <f>VLOOKUP(J275,Sheet2!$A$1:$B$11,2,FALSE)</f>
        <v>Formal Wear</v>
      </c>
      <c r="L275" s="5">
        <v>1</v>
      </c>
      <c r="M275" s="6">
        <v>252</v>
      </c>
      <c r="N275" s="6">
        <v>252</v>
      </c>
      <c r="O275" s="7">
        <v>0.1</v>
      </c>
      <c r="P275" s="8">
        <f t="shared" si="8"/>
        <v>25.200000000000003</v>
      </c>
      <c r="Q275" s="9">
        <f t="shared" si="9"/>
        <v>226.8</v>
      </c>
      <c r="R275" s="5">
        <v>4</v>
      </c>
      <c r="S275" s="5" t="s">
        <v>2033</v>
      </c>
      <c r="T275" s="5" t="s">
        <v>2035</v>
      </c>
    </row>
    <row r="276" spans="1:20" x14ac:dyDescent="0.25">
      <c r="A276" s="5" t="s">
        <v>289</v>
      </c>
      <c r="B276" s="10">
        <v>45504</v>
      </c>
      <c r="C276" s="5" t="s">
        <v>1017</v>
      </c>
      <c r="D276" s="11" t="s">
        <v>1295</v>
      </c>
      <c r="E276" s="5" t="s">
        <v>2331</v>
      </c>
      <c r="F276" s="5">
        <v>29</v>
      </c>
      <c r="G276" s="5" t="str" cm="1">
        <f t="array" ref="G276">_xlfn.IFS(F276&lt;12,"Child",F276&lt;18,"Teen",F276&lt;25,"Young",F276&lt;40,"Adult",F276&lt;60,"Middle Age",F276&gt;=60,"Old")</f>
        <v>Adult</v>
      </c>
      <c r="H276" s="5" t="s">
        <v>2043</v>
      </c>
      <c r="I276" s="5" t="s">
        <v>2015</v>
      </c>
      <c r="J276" s="5" t="s">
        <v>2020</v>
      </c>
      <c r="K276" s="5" t="str">
        <f>VLOOKUP(J276,Sheet2!$A$1:$B$11,2,FALSE)</f>
        <v>Summer Wear</v>
      </c>
      <c r="L276" s="5">
        <v>5</v>
      </c>
      <c r="M276" s="6">
        <v>336</v>
      </c>
      <c r="N276" s="6">
        <v>1680</v>
      </c>
      <c r="O276" s="7">
        <v>0.1</v>
      </c>
      <c r="P276" s="8">
        <f t="shared" si="8"/>
        <v>168</v>
      </c>
      <c r="Q276" s="9">
        <f t="shared" si="9"/>
        <v>1512</v>
      </c>
      <c r="R276" s="5">
        <v>30</v>
      </c>
      <c r="S276" s="5" t="s">
        <v>2034</v>
      </c>
      <c r="T276" s="5" t="s">
        <v>2036</v>
      </c>
    </row>
    <row r="277" spans="1:20" x14ac:dyDescent="0.25">
      <c r="A277" s="5" t="s">
        <v>290</v>
      </c>
      <c r="B277" s="10">
        <v>45489</v>
      </c>
      <c r="C277" s="5" t="s">
        <v>1019</v>
      </c>
      <c r="D277" s="11" t="s">
        <v>1296</v>
      </c>
      <c r="E277" s="5" t="s">
        <v>2332</v>
      </c>
      <c r="F277" s="5">
        <v>20</v>
      </c>
      <c r="G277" s="5" t="str" cm="1">
        <f t="array" ref="G277">_xlfn.IFS(F277&lt;12,"Child",F277&lt;18,"Teen",F277&lt;25,"Young",F277&lt;40,"Adult",F277&lt;60,"Middle Age",F277&gt;=60,"Old")</f>
        <v>Young</v>
      </c>
      <c r="H277" s="5" t="s">
        <v>2044</v>
      </c>
      <c r="I277" s="5" t="s">
        <v>2052</v>
      </c>
      <c r="J277" s="5" t="s">
        <v>2017</v>
      </c>
      <c r="K277" s="5" t="str">
        <f>VLOOKUP(J277,Sheet2!$A$1:$B$11,2,FALSE)</f>
        <v>Casual Wear</v>
      </c>
      <c r="L277" s="5">
        <v>4</v>
      </c>
      <c r="M277" s="6">
        <v>741</v>
      </c>
      <c r="N277" s="6">
        <v>2964</v>
      </c>
      <c r="O277" s="7">
        <v>0.15</v>
      </c>
      <c r="P277" s="8">
        <f t="shared" si="8"/>
        <v>444.59999999999997</v>
      </c>
      <c r="Q277" s="9">
        <f t="shared" si="9"/>
        <v>2519.4</v>
      </c>
      <c r="R277" s="5">
        <v>50</v>
      </c>
      <c r="S277" s="5" t="s">
        <v>2034</v>
      </c>
      <c r="T277" s="5" t="s">
        <v>2036</v>
      </c>
    </row>
    <row r="278" spans="1:20" x14ac:dyDescent="0.25">
      <c r="A278" s="5" t="s">
        <v>291</v>
      </c>
      <c r="B278" s="10">
        <v>45604</v>
      </c>
      <c r="C278" s="5" t="s">
        <v>1014</v>
      </c>
      <c r="D278" s="11" t="s">
        <v>1297</v>
      </c>
      <c r="E278" s="5" t="s">
        <v>2333</v>
      </c>
      <c r="F278" s="5">
        <v>21</v>
      </c>
      <c r="G278" s="5" t="str" cm="1">
        <f t="array" ref="G278">_xlfn.IFS(F278&lt;12,"Child",F278&lt;18,"Teen",F278&lt;25,"Young",F278&lt;40,"Adult",F278&lt;60,"Middle Age",F278&gt;=60,"Old")</f>
        <v>Young</v>
      </c>
      <c r="H278" s="5" t="s">
        <v>2044</v>
      </c>
      <c r="I278" s="5" t="s">
        <v>2048</v>
      </c>
      <c r="J278" s="5" t="s">
        <v>2022</v>
      </c>
      <c r="K278" s="5" t="str">
        <f>VLOOKUP(J278,Sheet2!$A$1:$B$11,2,FALSE)</f>
        <v>Sportswear</v>
      </c>
      <c r="L278" s="5">
        <v>3</v>
      </c>
      <c r="M278" s="6">
        <v>952</v>
      </c>
      <c r="N278" s="6">
        <v>2856</v>
      </c>
      <c r="O278" s="7">
        <v>0.15</v>
      </c>
      <c r="P278" s="8">
        <f t="shared" si="8"/>
        <v>428.4</v>
      </c>
      <c r="Q278" s="9">
        <f t="shared" si="9"/>
        <v>2427.6</v>
      </c>
      <c r="R278" s="5">
        <v>48</v>
      </c>
      <c r="S278" s="5" t="s">
        <v>2034</v>
      </c>
      <c r="T278" s="5" t="s">
        <v>2037</v>
      </c>
    </row>
    <row r="279" spans="1:20" x14ac:dyDescent="0.25">
      <c r="A279" s="5" t="s">
        <v>292</v>
      </c>
      <c r="B279" s="10">
        <v>45658</v>
      </c>
      <c r="C279" s="5" t="s">
        <v>1017</v>
      </c>
      <c r="D279" s="11" t="s">
        <v>1298</v>
      </c>
      <c r="E279" s="5" t="s">
        <v>2334</v>
      </c>
      <c r="F279" s="5">
        <v>42</v>
      </c>
      <c r="G279" s="5" t="str" cm="1">
        <f t="array" ref="G279">_xlfn.IFS(F279&lt;12,"Child",F279&lt;18,"Teen",F279&lt;25,"Young",F279&lt;40,"Adult",F279&lt;60,"Middle Age",F279&gt;=60,"Old")</f>
        <v>Middle Age</v>
      </c>
      <c r="H279" s="5" t="s">
        <v>2044</v>
      </c>
      <c r="I279" s="5" t="s">
        <v>2047</v>
      </c>
      <c r="J279" s="5" t="s">
        <v>2020</v>
      </c>
      <c r="K279" s="5" t="str">
        <f>VLOOKUP(J279,Sheet2!$A$1:$B$11,2,FALSE)</f>
        <v>Summer Wear</v>
      </c>
      <c r="L279" s="5">
        <v>5</v>
      </c>
      <c r="M279" s="6">
        <v>654</v>
      </c>
      <c r="N279" s="6">
        <v>3270</v>
      </c>
      <c r="O279" s="7">
        <v>0</v>
      </c>
      <c r="P279" s="8">
        <f t="shared" si="8"/>
        <v>0</v>
      </c>
      <c r="Q279" s="9">
        <f t="shared" si="9"/>
        <v>3270</v>
      </c>
      <c r="R279" s="5">
        <v>65</v>
      </c>
      <c r="S279" s="5" t="s">
        <v>2032</v>
      </c>
      <c r="T279" s="5" t="s">
        <v>2035</v>
      </c>
    </row>
    <row r="280" spans="1:20" x14ac:dyDescent="0.25">
      <c r="A280" s="5" t="s">
        <v>293</v>
      </c>
      <c r="B280" s="10">
        <v>45439</v>
      </c>
      <c r="C280" s="5" t="s">
        <v>1016</v>
      </c>
      <c r="D280" s="11" t="s">
        <v>1299</v>
      </c>
      <c r="E280" s="5" t="s">
        <v>2335</v>
      </c>
      <c r="F280" s="5">
        <v>27</v>
      </c>
      <c r="G280" s="5" t="str" cm="1">
        <f t="array" ref="G280">_xlfn.IFS(F280&lt;12,"Child",F280&lt;18,"Teen",F280&lt;25,"Young",F280&lt;40,"Adult",F280&lt;60,"Middle Age",F280&gt;=60,"Old")</f>
        <v>Adult</v>
      </c>
      <c r="H280" s="5" t="s">
        <v>2044</v>
      </c>
      <c r="I280" s="5" t="s">
        <v>2052</v>
      </c>
      <c r="J280" s="5" t="s">
        <v>2023</v>
      </c>
      <c r="K280" s="5" t="str">
        <f>VLOOKUP(J280,Sheet2!$A$1:$B$11,2,FALSE)</f>
        <v>Formal Wear</v>
      </c>
      <c r="L280" s="5">
        <v>3</v>
      </c>
      <c r="M280" s="6">
        <v>848</v>
      </c>
      <c r="N280" s="6">
        <v>2544</v>
      </c>
      <c r="O280" s="7">
        <v>0.15</v>
      </c>
      <c r="P280" s="8">
        <f t="shared" si="8"/>
        <v>381.59999999999997</v>
      </c>
      <c r="Q280" s="9">
        <f t="shared" si="9"/>
        <v>2162.4</v>
      </c>
      <c r="R280" s="5">
        <v>43</v>
      </c>
      <c r="S280" s="5" t="s">
        <v>2034</v>
      </c>
      <c r="T280" s="5" t="s">
        <v>2035</v>
      </c>
    </row>
    <row r="281" spans="1:20" x14ac:dyDescent="0.25">
      <c r="A281" s="5" t="s">
        <v>294</v>
      </c>
      <c r="B281" s="10">
        <v>45686</v>
      </c>
      <c r="C281" s="5" t="s">
        <v>1017</v>
      </c>
      <c r="D281" s="11" t="s">
        <v>1300</v>
      </c>
      <c r="E281" s="5" t="s">
        <v>2336</v>
      </c>
      <c r="F281" s="5">
        <v>22</v>
      </c>
      <c r="G281" s="5" t="str" cm="1">
        <f t="array" ref="G281">_xlfn.IFS(F281&lt;12,"Child",F281&lt;18,"Teen",F281&lt;25,"Young",F281&lt;40,"Adult",F281&lt;60,"Middle Age",F281&gt;=60,"Old")</f>
        <v>Young</v>
      </c>
      <c r="H281" s="5" t="s">
        <v>2044</v>
      </c>
      <c r="I281" s="5" t="s">
        <v>2046</v>
      </c>
      <c r="J281" s="5" t="s">
        <v>2016</v>
      </c>
      <c r="K281" s="5" t="str">
        <f>VLOOKUP(J281,Sheet2!$A$1:$B$11,2,FALSE)</f>
        <v>Winter Wear</v>
      </c>
      <c r="L281" s="5">
        <v>1</v>
      </c>
      <c r="M281" s="6">
        <v>669</v>
      </c>
      <c r="N281" s="6">
        <v>669</v>
      </c>
      <c r="O281" s="7">
        <v>0.15</v>
      </c>
      <c r="P281" s="8">
        <f t="shared" si="8"/>
        <v>100.35</v>
      </c>
      <c r="Q281" s="9">
        <f t="shared" si="9"/>
        <v>568.65</v>
      </c>
      <c r="R281" s="5">
        <v>11</v>
      </c>
      <c r="S281" s="5" t="s">
        <v>2033</v>
      </c>
      <c r="T281" s="5" t="s">
        <v>2036</v>
      </c>
    </row>
    <row r="282" spans="1:20" x14ac:dyDescent="0.25">
      <c r="A282" s="5" t="s">
        <v>295</v>
      </c>
      <c r="B282" s="10">
        <v>45479</v>
      </c>
      <c r="C282" s="5" t="s">
        <v>1020</v>
      </c>
      <c r="D282" s="11" t="s">
        <v>1301</v>
      </c>
      <c r="E282" s="5" t="s">
        <v>2337</v>
      </c>
      <c r="F282" s="5">
        <v>23</v>
      </c>
      <c r="G282" s="5" t="str" cm="1">
        <f t="array" ref="G282">_xlfn.IFS(F282&lt;12,"Child",F282&lt;18,"Teen",F282&lt;25,"Young",F282&lt;40,"Adult",F282&lt;60,"Middle Age",F282&gt;=60,"Old")</f>
        <v>Young</v>
      </c>
      <c r="H282" s="5" t="s">
        <v>2043</v>
      </c>
      <c r="I282" s="5" t="s">
        <v>2047</v>
      </c>
      <c r="J282" s="5" t="s">
        <v>2020</v>
      </c>
      <c r="K282" s="5" t="str">
        <f>VLOOKUP(J282,Sheet2!$A$1:$B$11,2,FALSE)</f>
        <v>Summer Wear</v>
      </c>
      <c r="L282" s="5">
        <v>4</v>
      </c>
      <c r="M282" s="6">
        <v>826</v>
      </c>
      <c r="N282" s="6">
        <v>3304</v>
      </c>
      <c r="O282" s="7">
        <v>0.15</v>
      </c>
      <c r="P282" s="8">
        <f t="shared" si="8"/>
        <v>495.59999999999997</v>
      </c>
      <c r="Q282" s="9">
        <f t="shared" si="9"/>
        <v>2808.4</v>
      </c>
      <c r="R282" s="5">
        <v>56</v>
      </c>
      <c r="S282" s="5" t="s">
        <v>2033</v>
      </c>
      <c r="T282" s="5" t="s">
        <v>2035</v>
      </c>
    </row>
    <row r="283" spans="1:20" x14ac:dyDescent="0.25">
      <c r="A283" s="5" t="s">
        <v>296</v>
      </c>
      <c r="B283" s="10">
        <v>45696</v>
      </c>
      <c r="C283" s="5" t="s">
        <v>1020</v>
      </c>
      <c r="D283" s="11" t="s">
        <v>1302</v>
      </c>
      <c r="E283" s="5" t="s">
        <v>2338</v>
      </c>
      <c r="F283" s="5">
        <v>55</v>
      </c>
      <c r="G283" s="5" t="str" cm="1">
        <f t="array" ref="G283">_xlfn.IFS(F283&lt;12,"Child",F283&lt;18,"Teen",F283&lt;25,"Young",F283&lt;40,"Adult",F283&lt;60,"Middle Age",F283&gt;=60,"Old")</f>
        <v>Middle Age</v>
      </c>
      <c r="H283" s="5" t="s">
        <v>2043</v>
      </c>
      <c r="I283" s="5" t="s">
        <v>2048</v>
      </c>
      <c r="J283" s="5" t="s">
        <v>2024</v>
      </c>
      <c r="K283" s="5" t="str">
        <f>VLOOKUP(J283,Sheet2!$A$1:$B$11,2,FALSE)</f>
        <v>Fashion Accessories</v>
      </c>
      <c r="L283" s="5">
        <v>5</v>
      </c>
      <c r="M283" s="6">
        <v>612</v>
      </c>
      <c r="N283" s="6">
        <v>3060</v>
      </c>
      <c r="O283" s="7">
        <v>0.1</v>
      </c>
      <c r="P283" s="8">
        <f t="shared" si="8"/>
        <v>306</v>
      </c>
      <c r="Q283" s="9">
        <f t="shared" si="9"/>
        <v>2754</v>
      </c>
      <c r="R283" s="5">
        <v>55</v>
      </c>
      <c r="S283" s="5" t="s">
        <v>2034</v>
      </c>
      <c r="T283" s="5" t="s">
        <v>2035</v>
      </c>
    </row>
    <row r="284" spans="1:20" x14ac:dyDescent="0.25">
      <c r="A284" s="5" t="s">
        <v>297</v>
      </c>
      <c r="B284" s="10">
        <v>45577</v>
      </c>
      <c r="C284" s="5" t="s">
        <v>1020</v>
      </c>
      <c r="D284" s="11" t="s">
        <v>1303</v>
      </c>
      <c r="E284" s="5" t="s">
        <v>2339</v>
      </c>
      <c r="F284" s="5">
        <v>51</v>
      </c>
      <c r="G284" s="5" t="str" cm="1">
        <f t="array" ref="G284">_xlfn.IFS(F284&lt;12,"Child",F284&lt;18,"Teen",F284&lt;25,"Young",F284&lt;40,"Adult",F284&lt;60,"Middle Age",F284&gt;=60,"Old")</f>
        <v>Middle Age</v>
      </c>
      <c r="H284" s="5" t="s">
        <v>2043</v>
      </c>
      <c r="I284" s="5" t="s">
        <v>2048</v>
      </c>
      <c r="J284" s="5" t="s">
        <v>2024</v>
      </c>
      <c r="K284" s="5" t="str">
        <f>VLOOKUP(J284,Sheet2!$A$1:$B$11,2,FALSE)</f>
        <v>Fashion Accessories</v>
      </c>
      <c r="L284" s="5">
        <v>2</v>
      </c>
      <c r="M284" s="6">
        <v>755</v>
      </c>
      <c r="N284" s="6">
        <v>1510</v>
      </c>
      <c r="O284" s="7">
        <v>0.1</v>
      </c>
      <c r="P284" s="8">
        <f t="shared" si="8"/>
        <v>151</v>
      </c>
      <c r="Q284" s="9">
        <f t="shared" si="9"/>
        <v>1359</v>
      </c>
      <c r="R284" s="5">
        <v>27</v>
      </c>
      <c r="S284" s="5" t="s">
        <v>2033</v>
      </c>
      <c r="T284" s="5" t="s">
        <v>2036</v>
      </c>
    </row>
    <row r="285" spans="1:20" x14ac:dyDescent="0.25">
      <c r="A285" s="5" t="s">
        <v>298</v>
      </c>
      <c r="B285" s="10">
        <v>45532</v>
      </c>
      <c r="C285" s="5" t="s">
        <v>1017</v>
      </c>
      <c r="D285" s="11" t="s">
        <v>1304</v>
      </c>
      <c r="E285" s="5" t="s">
        <v>2340</v>
      </c>
      <c r="F285" s="5">
        <v>56</v>
      </c>
      <c r="G285" s="5" t="str" cm="1">
        <f t="array" ref="G285">_xlfn.IFS(F285&lt;12,"Child",F285&lt;18,"Teen",F285&lt;25,"Young",F285&lt;40,"Adult",F285&lt;60,"Middle Age",F285&gt;=60,"Old")</f>
        <v>Middle Age</v>
      </c>
      <c r="H285" s="5" t="s">
        <v>2044</v>
      </c>
      <c r="I285" s="5" t="s">
        <v>2047</v>
      </c>
      <c r="J285" s="5" t="s">
        <v>2017</v>
      </c>
      <c r="K285" s="5" t="str">
        <f>VLOOKUP(J285,Sheet2!$A$1:$B$11,2,FALSE)</f>
        <v>Casual Wear</v>
      </c>
      <c r="L285" s="5">
        <v>1</v>
      </c>
      <c r="M285" s="6">
        <v>151</v>
      </c>
      <c r="N285" s="6">
        <v>151</v>
      </c>
      <c r="O285" s="7">
        <v>0</v>
      </c>
      <c r="P285" s="8">
        <f t="shared" si="8"/>
        <v>0</v>
      </c>
      <c r="Q285" s="9">
        <f t="shared" si="9"/>
        <v>151</v>
      </c>
      <c r="R285" s="5">
        <v>3</v>
      </c>
      <c r="S285" s="5" t="s">
        <v>2034</v>
      </c>
      <c r="T285" s="5" t="s">
        <v>2036</v>
      </c>
    </row>
    <row r="286" spans="1:20" x14ac:dyDescent="0.25">
      <c r="A286" s="5" t="s">
        <v>299</v>
      </c>
      <c r="B286" s="10">
        <v>45419</v>
      </c>
      <c r="C286" s="5" t="s">
        <v>1019</v>
      </c>
      <c r="D286" s="11" t="s">
        <v>1305</v>
      </c>
      <c r="E286" s="5" t="s">
        <v>2341</v>
      </c>
      <c r="F286" s="5">
        <v>29</v>
      </c>
      <c r="G286" s="5" t="str" cm="1">
        <f t="array" ref="G286">_xlfn.IFS(F286&lt;12,"Child",F286&lt;18,"Teen",F286&lt;25,"Young",F286&lt;40,"Adult",F286&lt;60,"Middle Age",F286&gt;=60,"Old")</f>
        <v>Adult</v>
      </c>
      <c r="H286" s="5" t="s">
        <v>2044</v>
      </c>
      <c r="I286" s="5" t="s">
        <v>2015</v>
      </c>
      <c r="J286" s="5" t="s">
        <v>2020</v>
      </c>
      <c r="K286" s="5" t="str">
        <f>VLOOKUP(J286,Sheet2!$A$1:$B$11,2,FALSE)</f>
        <v>Summer Wear</v>
      </c>
      <c r="L286" s="5">
        <v>4</v>
      </c>
      <c r="M286" s="6">
        <v>708</v>
      </c>
      <c r="N286" s="6">
        <v>2832</v>
      </c>
      <c r="O286" s="7">
        <v>0</v>
      </c>
      <c r="P286" s="8">
        <f t="shared" si="8"/>
        <v>0</v>
      </c>
      <c r="Q286" s="9">
        <f t="shared" si="9"/>
        <v>2832</v>
      </c>
      <c r="R286" s="5">
        <v>56</v>
      </c>
      <c r="S286" s="5" t="s">
        <v>2033</v>
      </c>
      <c r="T286" s="5" t="s">
        <v>2036</v>
      </c>
    </row>
    <row r="287" spans="1:20" x14ac:dyDescent="0.25">
      <c r="A287" s="5" t="s">
        <v>300</v>
      </c>
      <c r="B287" s="10">
        <v>45668</v>
      </c>
      <c r="C287" s="5" t="s">
        <v>1020</v>
      </c>
      <c r="D287" s="11" t="s">
        <v>1306</v>
      </c>
      <c r="E287" s="5" t="s">
        <v>2342</v>
      </c>
      <c r="F287" s="5">
        <v>53</v>
      </c>
      <c r="G287" s="5" t="str" cm="1">
        <f t="array" ref="G287">_xlfn.IFS(F287&lt;12,"Child",F287&lt;18,"Teen",F287&lt;25,"Young",F287&lt;40,"Adult",F287&lt;60,"Middle Age",F287&gt;=60,"Old")</f>
        <v>Middle Age</v>
      </c>
      <c r="H287" s="5" t="s">
        <v>2043</v>
      </c>
      <c r="I287" s="5" t="s">
        <v>2053</v>
      </c>
      <c r="J287" s="5" t="s">
        <v>2022</v>
      </c>
      <c r="K287" s="5" t="str">
        <f>VLOOKUP(J287,Sheet2!$A$1:$B$11,2,FALSE)</f>
        <v>Sportswear</v>
      </c>
      <c r="L287" s="5">
        <v>1</v>
      </c>
      <c r="M287" s="6">
        <v>400</v>
      </c>
      <c r="N287" s="6">
        <v>400</v>
      </c>
      <c r="O287" s="7">
        <v>0.2</v>
      </c>
      <c r="P287" s="8">
        <f t="shared" si="8"/>
        <v>80</v>
      </c>
      <c r="Q287" s="9">
        <f t="shared" si="9"/>
        <v>320</v>
      </c>
      <c r="R287" s="5">
        <v>6</v>
      </c>
      <c r="S287" s="5" t="s">
        <v>2033</v>
      </c>
      <c r="T287" s="5" t="s">
        <v>2036</v>
      </c>
    </row>
    <row r="288" spans="1:20" x14ac:dyDescent="0.25">
      <c r="A288" s="5" t="s">
        <v>301</v>
      </c>
      <c r="B288" s="10">
        <v>45562</v>
      </c>
      <c r="C288" s="5" t="s">
        <v>1014</v>
      </c>
      <c r="D288" s="11" t="s">
        <v>1307</v>
      </c>
      <c r="E288" s="5" t="s">
        <v>2343</v>
      </c>
      <c r="F288" s="5">
        <v>40</v>
      </c>
      <c r="G288" s="5" t="str" cm="1">
        <f t="array" ref="G288">_xlfn.IFS(F288&lt;12,"Child",F288&lt;18,"Teen",F288&lt;25,"Young",F288&lt;40,"Adult",F288&lt;60,"Middle Age",F288&gt;=60,"Old")</f>
        <v>Middle Age</v>
      </c>
      <c r="H288" s="5" t="s">
        <v>2044</v>
      </c>
      <c r="I288" s="5" t="s">
        <v>2052</v>
      </c>
      <c r="J288" s="5" t="s">
        <v>2019</v>
      </c>
      <c r="K288" s="5" t="str">
        <f>VLOOKUP(J288,Sheet2!$A$1:$B$11,2,FALSE)</f>
        <v>Formal Wear</v>
      </c>
      <c r="L288" s="5">
        <v>5</v>
      </c>
      <c r="M288" s="6">
        <v>1115</v>
      </c>
      <c r="N288" s="6">
        <v>5575</v>
      </c>
      <c r="O288" s="7">
        <v>0.05</v>
      </c>
      <c r="P288" s="8">
        <f t="shared" si="8"/>
        <v>278.75</v>
      </c>
      <c r="Q288" s="9">
        <f t="shared" si="9"/>
        <v>5296.25</v>
      </c>
      <c r="R288" s="5">
        <v>105</v>
      </c>
      <c r="S288" s="5" t="s">
        <v>2033</v>
      </c>
      <c r="T288" s="5" t="s">
        <v>2035</v>
      </c>
    </row>
    <row r="289" spans="1:20" x14ac:dyDescent="0.25">
      <c r="A289" s="5" t="s">
        <v>302</v>
      </c>
      <c r="B289" s="10">
        <v>45694</v>
      </c>
      <c r="C289" s="5" t="s">
        <v>1018</v>
      </c>
      <c r="D289" s="11" t="s">
        <v>1308</v>
      </c>
      <c r="E289" s="5" t="s">
        <v>2344</v>
      </c>
      <c r="F289" s="5">
        <v>42</v>
      </c>
      <c r="G289" s="5" t="str" cm="1">
        <f t="array" ref="G289">_xlfn.IFS(F289&lt;12,"Child",F289&lt;18,"Teen",F289&lt;25,"Young",F289&lt;40,"Adult",F289&lt;60,"Middle Age",F289&gt;=60,"Old")</f>
        <v>Middle Age</v>
      </c>
      <c r="H289" s="5" t="s">
        <v>2044</v>
      </c>
      <c r="I289" s="5" t="s">
        <v>2045</v>
      </c>
      <c r="J289" s="5" t="s">
        <v>2016</v>
      </c>
      <c r="K289" s="5" t="str">
        <f>VLOOKUP(J289,Sheet2!$A$1:$B$11,2,FALSE)</f>
        <v>Winter Wear</v>
      </c>
      <c r="L289" s="5">
        <v>1</v>
      </c>
      <c r="M289" s="6">
        <v>1174</v>
      </c>
      <c r="N289" s="6">
        <v>1174</v>
      </c>
      <c r="O289" s="7">
        <v>0</v>
      </c>
      <c r="P289" s="8">
        <f t="shared" si="8"/>
        <v>0</v>
      </c>
      <c r="Q289" s="9">
        <f t="shared" si="9"/>
        <v>1174</v>
      </c>
      <c r="R289" s="5">
        <v>23</v>
      </c>
      <c r="S289" s="5" t="s">
        <v>2034</v>
      </c>
      <c r="T289" s="5" t="s">
        <v>2035</v>
      </c>
    </row>
    <row r="290" spans="1:20" x14ac:dyDescent="0.25">
      <c r="A290" s="5" t="s">
        <v>303</v>
      </c>
      <c r="B290" s="10">
        <v>45445</v>
      </c>
      <c r="C290" s="5" t="s">
        <v>1015</v>
      </c>
      <c r="D290" s="11" t="s">
        <v>1309</v>
      </c>
      <c r="E290" s="5" t="s">
        <v>2345</v>
      </c>
      <c r="F290" s="5">
        <v>21</v>
      </c>
      <c r="G290" s="5" t="str" cm="1">
        <f t="array" ref="G290">_xlfn.IFS(F290&lt;12,"Child",F290&lt;18,"Teen",F290&lt;25,"Young",F290&lt;40,"Adult",F290&lt;60,"Middle Age",F290&gt;=60,"Old")</f>
        <v>Young</v>
      </c>
      <c r="H290" s="5" t="s">
        <v>2044</v>
      </c>
      <c r="I290" s="5" t="s">
        <v>2053</v>
      </c>
      <c r="J290" s="5" t="s">
        <v>2020</v>
      </c>
      <c r="K290" s="5" t="str">
        <f>VLOOKUP(J290,Sheet2!$A$1:$B$11,2,FALSE)</f>
        <v>Summer Wear</v>
      </c>
      <c r="L290" s="5">
        <v>4</v>
      </c>
      <c r="M290" s="6">
        <v>718</v>
      </c>
      <c r="N290" s="6">
        <v>2872</v>
      </c>
      <c r="O290" s="7">
        <v>0</v>
      </c>
      <c r="P290" s="8">
        <f t="shared" si="8"/>
        <v>0</v>
      </c>
      <c r="Q290" s="9">
        <f t="shared" si="9"/>
        <v>2872</v>
      </c>
      <c r="R290" s="5">
        <v>57</v>
      </c>
      <c r="S290" s="5" t="s">
        <v>2033</v>
      </c>
      <c r="T290" s="5" t="s">
        <v>2037</v>
      </c>
    </row>
    <row r="291" spans="1:20" x14ac:dyDescent="0.25">
      <c r="A291" s="5" t="s">
        <v>304</v>
      </c>
      <c r="B291" s="10">
        <v>45653</v>
      </c>
      <c r="C291" s="5" t="s">
        <v>1014</v>
      </c>
      <c r="D291" s="11" t="s">
        <v>1310</v>
      </c>
      <c r="E291" s="5" t="s">
        <v>2346</v>
      </c>
      <c r="F291" s="5">
        <v>19</v>
      </c>
      <c r="G291" s="5" t="str" cm="1">
        <f t="array" ref="G291">_xlfn.IFS(F291&lt;12,"Child",F291&lt;18,"Teen",F291&lt;25,"Young",F291&lt;40,"Adult",F291&lt;60,"Middle Age",F291&gt;=60,"Old")</f>
        <v>Young</v>
      </c>
      <c r="H291" s="5" t="s">
        <v>2043</v>
      </c>
      <c r="I291" s="5" t="s">
        <v>2015</v>
      </c>
      <c r="J291" s="5" t="s">
        <v>2024</v>
      </c>
      <c r="K291" s="5" t="str">
        <f>VLOOKUP(J291,Sheet2!$A$1:$B$11,2,FALSE)</f>
        <v>Fashion Accessories</v>
      </c>
      <c r="L291" s="5">
        <v>2</v>
      </c>
      <c r="M291" s="6">
        <v>652</v>
      </c>
      <c r="N291" s="6">
        <v>1304</v>
      </c>
      <c r="O291" s="7">
        <v>0.2</v>
      </c>
      <c r="P291" s="8">
        <f t="shared" si="8"/>
        <v>260.8</v>
      </c>
      <c r="Q291" s="9">
        <f t="shared" si="9"/>
        <v>1043.2</v>
      </c>
      <c r="R291" s="5">
        <v>20</v>
      </c>
      <c r="S291" s="5" t="s">
        <v>2033</v>
      </c>
      <c r="T291" s="5" t="s">
        <v>2036</v>
      </c>
    </row>
    <row r="292" spans="1:20" x14ac:dyDescent="0.25">
      <c r="A292" s="5" t="s">
        <v>305</v>
      </c>
      <c r="B292" s="10">
        <v>45525</v>
      </c>
      <c r="C292" s="5" t="s">
        <v>1017</v>
      </c>
      <c r="D292" s="11" t="s">
        <v>1311</v>
      </c>
      <c r="E292" s="5" t="s">
        <v>2347</v>
      </c>
      <c r="F292" s="5">
        <v>55</v>
      </c>
      <c r="G292" s="5" t="str" cm="1">
        <f t="array" ref="G292">_xlfn.IFS(F292&lt;12,"Child",F292&lt;18,"Teen",F292&lt;25,"Young",F292&lt;40,"Adult",F292&lt;60,"Middle Age",F292&gt;=60,"Old")</f>
        <v>Middle Age</v>
      </c>
      <c r="H292" s="5" t="s">
        <v>2043</v>
      </c>
      <c r="I292" s="5" t="s">
        <v>2015</v>
      </c>
      <c r="J292" s="5" t="s">
        <v>2024</v>
      </c>
      <c r="K292" s="5" t="str">
        <f>VLOOKUP(J292,Sheet2!$A$1:$B$11,2,FALSE)</f>
        <v>Fashion Accessories</v>
      </c>
      <c r="L292" s="5">
        <v>2</v>
      </c>
      <c r="M292" s="6">
        <v>227</v>
      </c>
      <c r="N292" s="6">
        <v>454</v>
      </c>
      <c r="O292" s="7">
        <v>0.05</v>
      </c>
      <c r="P292" s="8">
        <f t="shared" si="8"/>
        <v>22.700000000000003</v>
      </c>
      <c r="Q292" s="9">
        <f t="shared" si="9"/>
        <v>431.3</v>
      </c>
      <c r="R292" s="5">
        <v>8</v>
      </c>
      <c r="S292" s="5" t="s">
        <v>2034</v>
      </c>
      <c r="T292" s="5" t="s">
        <v>2035</v>
      </c>
    </row>
    <row r="293" spans="1:20" x14ac:dyDescent="0.25">
      <c r="A293" s="5" t="s">
        <v>306</v>
      </c>
      <c r="B293" s="10">
        <v>45572</v>
      </c>
      <c r="C293" s="5" t="s">
        <v>1016</v>
      </c>
      <c r="D293" s="11" t="s">
        <v>1312</v>
      </c>
      <c r="E293" s="5" t="s">
        <v>2348</v>
      </c>
      <c r="F293" s="5">
        <v>31</v>
      </c>
      <c r="G293" s="5" t="str" cm="1">
        <f t="array" ref="G293">_xlfn.IFS(F293&lt;12,"Child",F293&lt;18,"Teen",F293&lt;25,"Young",F293&lt;40,"Adult",F293&lt;60,"Middle Age",F293&gt;=60,"Old")</f>
        <v>Adult</v>
      </c>
      <c r="H293" s="5" t="s">
        <v>2043</v>
      </c>
      <c r="I293" s="5" t="s">
        <v>2048</v>
      </c>
      <c r="J293" s="5" t="s">
        <v>2021</v>
      </c>
      <c r="K293" s="5" t="str">
        <f>VLOOKUP(J293,Sheet2!$A$1:$B$11,2,FALSE)</f>
        <v>Casual Wear</v>
      </c>
      <c r="L293" s="5">
        <v>3</v>
      </c>
      <c r="M293" s="6">
        <v>591</v>
      </c>
      <c r="N293" s="6">
        <v>1773</v>
      </c>
      <c r="O293" s="7">
        <v>0.1</v>
      </c>
      <c r="P293" s="8">
        <f t="shared" si="8"/>
        <v>177.3</v>
      </c>
      <c r="Q293" s="9">
        <f t="shared" si="9"/>
        <v>1595.7</v>
      </c>
      <c r="R293" s="5">
        <v>31</v>
      </c>
      <c r="S293" s="5" t="s">
        <v>2034</v>
      </c>
      <c r="T293" s="5" t="s">
        <v>2035</v>
      </c>
    </row>
    <row r="294" spans="1:20" x14ac:dyDescent="0.25">
      <c r="A294" s="5" t="s">
        <v>307</v>
      </c>
      <c r="B294" s="10">
        <v>45586</v>
      </c>
      <c r="C294" s="5" t="s">
        <v>1016</v>
      </c>
      <c r="D294" s="11" t="s">
        <v>1313</v>
      </c>
      <c r="E294" s="5" t="s">
        <v>2349</v>
      </c>
      <c r="F294" s="5">
        <v>27</v>
      </c>
      <c r="G294" s="5" t="str" cm="1">
        <f t="array" ref="G294">_xlfn.IFS(F294&lt;12,"Child",F294&lt;18,"Teen",F294&lt;25,"Young",F294&lt;40,"Adult",F294&lt;60,"Middle Age",F294&gt;=60,"Old")</f>
        <v>Adult</v>
      </c>
      <c r="H294" s="5" t="s">
        <v>2044</v>
      </c>
      <c r="I294" s="5" t="s">
        <v>2051</v>
      </c>
      <c r="J294" s="5" t="s">
        <v>2022</v>
      </c>
      <c r="K294" s="5" t="str">
        <f>VLOOKUP(J294,Sheet2!$A$1:$B$11,2,FALSE)</f>
        <v>Sportswear</v>
      </c>
      <c r="L294" s="5">
        <v>3</v>
      </c>
      <c r="M294" s="6">
        <v>361</v>
      </c>
      <c r="N294" s="6">
        <v>1083</v>
      </c>
      <c r="O294" s="7">
        <v>0.05</v>
      </c>
      <c r="P294" s="8">
        <f t="shared" si="8"/>
        <v>54.150000000000006</v>
      </c>
      <c r="Q294" s="9">
        <f t="shared" si="9"/>
        <v>1028.8499999999999</v>
      </c>
      <c r="R294" s="5">
        <v>20</v>
      </c>
      <c r="S294" s="5" t="s">
        <v>2033</v>
      </c>
      <c r="T294" s="5" t="s">
        <v>2036</v>
      </c>
    </row>
    <row r="295" spans="1:20" x14ac:dyDescent="0.25">
      <c r="A295" s="5" t="s">
        <v>308</v>
      </c>
      <c r="B295" s="10">
        <v>45470</v>
      </c>
      <c r="C295" s="5" t="s">
        <v>1018</v>
      </c>
      <c r="D295" s="11" t="s">
        <v>1314</v>
      </c>
      <c r="E295" s="5" t="s">
        <v>2350</v>
      </c>
      <c r="F295" s="5">
        <v>53</v>
      </c>
      <c r="G295" s="5" t="str" cm="1">
        <f t="array" ref="G295">_xlfn.IFS(F295&lt;12,"Child",F295&lt;18,"Teen",F295&lt;25,"Young",F295&lt;40,"Adult",F295&lt;60,"Middle Age",F295&gt;=60,"Old")</f>
        <v>Middle Age</v>
      </c>
      <c r="H295" s="5" t="s">
        <v>2044</v>
      </c>
      <c r="I295" s="5" t="s">
        <v>2049</v>
      </c>
      <c r="J295" s="5" t="s">
        <v>2022</v>
      </c>
      <c r="K295" s="5" t="str">
        <f>VLOOKUP(J295,Sheet2!$A$1:$B$11,2,FALSE)</f>
        <v>Sportswear</v>
      </c>
      <c r="L295" s="5">
        <v>5</v>
      </c>
      <c r="M295" s="6">
        <v>704</v>
      </c>
      <c r="N295" s="6">
        <v>3520</v>
      </c>
      <c r="O295" s="7">
        <v>0.2</v>
      </c>
      <c r="P295" s="8">
        <f t="shared" si="8"/>
        <v>704</v>
      </c>
      <c r="Q295" s="9">
        <f t="shared" si="9"/>
        <v>2816</v>
      </c>
      <c r="R295" s="5">
        <v>56</v>
      </c>
      <c r="S295" s="5" t="s">
        <v>2032</v>
      </c>
      <c r="T295" s="5" t="s">
        <v>2037</v>
      </c>
    </row>
    <row r="296" spans="1:20" x14ac:dyDescent="0.25">
      <c r="A296" s="5" t="s">
        <v>309</v>
      </c>
      <c r="B296" s="10">
        <v>45585</v>
      </c>
      <c r="C296" s="5" t="s">
        <v>1015</v>
      </c>
      <c r="D296" s="11" t="s">
        <v>1315</v>
      </c>
      <c r="E296" s="5" t="s">
        <v>2351</v>
      </c>
      <c r="F296" s="5">
        <v>54</v>
      </c>
      <c r="G296" s="5" t="str" cm="1">
        <f t="array" ref="G296">_xlfn.IFS(F296&lt;12,"Child",F296&lt;18,"Teen",F296&lt;25,"Young",F296&lt;40,"Adult",F296&lt;60,"Middle Age",F296&gt;=60,"Old")</f>
        <v>Middle Age</v>
      </c>
      <c r="H296" s="5" t="s">
        <v>2044</v>
      </c>
      <c r="I296" s="5" t="s">
        <v>2053</v>
      </c>
      <c r="J296" s="5" t="s">
        <v>2020</v>
      </c>
      <c r="K296" s="5" t="str">
        <f>VLOOKUP(J296,Sheet2!$A$1:$B$11,2,FALSE)</f>
        <v>Summer Wear</v>
      </c>
      <c r="L296" s="5">
        <v>3</v>
      </c>
      <c r="M296" s="6">
        <v>887</v>
      </c>
      <c r="N296" s="6">
        <v>2661</v>
      </c>
      <c r="O296" s="7">
        <v>0.05</v>
      </c>
      <c r="P296" s="8">
        <f t="shared" si="8"/>
        <v>133.05000000000001</v>
      </c>
      <c r="Q296" s="9">
        <f t="shared" si="9"/>
        <v>2527.9499999999998</v>
      </c>
      <c r="R296" s="5">
        <v>50</v>
      </c>
      <c r="S296" s="5" t="s">
        <v>2032</v>
      </c>
      <c r="T296" s="5" t="s">
        <v>2036</v>
      </c>
    </row>
    <row r="297" spans="1:20" x14ac:dyDescent="0.25">
      <c r="A297" s="5" t="s">
        <v>310</v>
      </c>
      <c r="B297" s="10">
        <v>45708</v>
      </c>
      <c r="C297" s="5" t="s">
        <v>1018</v>
      </c>
      <c r="D297" s="11" t="s">
        <v>1316</v>
      </c>
      <c r="E297" s="5" t="s">
        <v>2352</v>
      </c>
      <c r="F297" s="5">
        <v>34</v>
      </c>
      <c r="G297" s="5" t="str" cm="1">
        <f t="array" ref="G297">_xlfn.IFS(F297&lt;12,"Child",F297&lt;18,"Teen",F297&lt;25,"Young",F297&lt;40,"Adult",F297&lt;60,"Middle Age",F297&gt;=60,"Old")</f>
        <v>Adult</v>
      </c>
      <c r="H297" s="5" t="s">
        <v>2044</v>
      </c>
      <c r="I297" s="5" t="s">
        <v>2049</v>
      </c>
      <c r="J297" s="5" t="s">
        <v>2016</v>
      </c>
      <c r="K297" s="5" t="str">
        <f>VLOOKUP(J297,Sheet2!$A$1:$B$11,2,FALSE)</f>
        <v>Winter Wear</v>
      </c>
      <c r="L297" s="5">
        <v>3</v>
      </c>
      <c r="M297" s="6">
        <v>1025</v>
      </c>
      <c r="N297" s="6">
        <v>3075</v>
      </c>
      <c r="O297" s="7">
        <v>0.15</v>
      </c>
      <c r="P297" s="8">
        <f t="shared" si="8"/>
        <v>461.25</v>
      </c>
      <c r="Q297" s="9">
        <f t="shared" si="9"/>
        <v>2613.75</v>
      </c>
      <c r="R297" s="5">
        <v>52</v>
      </c>
      <c r="S297" s="5" t="s">
        <v>2032</v>
      </c>
      <c r="T297" s="5" t="s">
        <v>2036</v>
      </c>
    </row>
    <row r="298" spans="1:20" x14ac:dyDescent="0.25">
      <c r="A298" s="5" t="s">
        <v>311</v>
      </c>
      <c r="B298" s="10">
        <v>45420</v>
      </c>
      <c r="C298" s="5" t="s">
        <v>1017</v>
      </c>
      <c r="D298" s="11" t="s">
        <v>1271</v>
      </c>
      <c r="E298" s="5" t="s">
        <v>2353</v>
      </c>
      <c r="F298" s="5">
        <v>31</v>
      </c>
      <c r="G298" s="5" t="str" cm="1">
        <f t="array" ref="G298">_xlfn.IFS(F298&lt;12,"Child",F298&lt;18,"Teen",F298&lt;25,"Young",F298&lt;40,"Adult",F298&lt;60,"Middle Age",F298&gt;=60,"Old")</f>
        <v>Adult</v>
      </c>
      <c r="H298" s="5" t="s">
        <v>2044</v>
      </c>
      <c r="I298" s="5" t="s">
        <v>2051</v>
      </c>
      <c r="J298" s="5" t="s">
        <v>2018</v>
      </c>
      <c r="K298" s="5" t="str">
        <f>VLOOKUP(J298,Sheet2!$A$1:$B$11,2,FALSE)</f>
        <v>Sportswear</v>
      </c>
      <c r="L298" s="5">
        <v>1</v>
      </c>
      <c r="M298" s="6">
        <v>1180</v>
      </c>
      <c r="N298" s="6">
        <v>1180</v>
      </c>
      <c r="O298" s="7">
        <v>0.05</v>
      </c>
      <c r="P298" s="8">
        <f t="shared" si="8"/>
        <v>59</v>
      </c>
      <c r="Q298" s="9">
        <f t="shared" si="9"/>
        <v>1121</v>
      </c>
      <c r="R298" s="5">
        <v>22</v>
      </c>
      <c r="S298" s="5" t="s">
        <v>2032</v>
      </c>
      <c r="T298" s="5" t="s">
        <v>2035</v>
      </c>
    </row>
    <row r="299" spans="1:20" x14ac:dyDescent="0.25">
      <c r="A299" s="5" t="s">
        <v>312</v>
      </c>
      <c r="B299" s="10">
        <v>45613</v>
      </c>
      <c r="C299" s="5" t="s">
        <v>1015</v>
      </c>
      <c r="D299" s="11" t="s">
        <v>1317</v>
      </c>
      <c r="E299" s="5" t="s">
        <v>2354</v>
      </c>
      <c r="F299" s="5">
        <v>39</v>
      </c>
      <c r="G299" s="5" t="str" cm="1">
        <f t="array" ref="G299">_xlfn.IFS(F299&lt;12,"Child",F299&lt;18,"Teen",F299&lt;25,"Young",F299&lt;40,"Adult",F299&lt;60,"Middle Age",F299&gt;=60,"Old")</f>
        <v>Adult</v>
      </c>
      <c r="H299" s="5" t="s">
        <v>2043</v>
      </c>
      <c r="I299" s="5" t="s">
        <v>2015</v>
      </c>
      <c r="J299" s="5" t="s">
        <v>2025</v>
      </c>
      <c r="K299" s="5" t="str">
        <f>VLOOKUP(J299,Sheet2!$A$1:$B$11,2,FALSE)</f>
        <v>Formal Wear</v>
      </c>
      <c r="L299" s="5">
        <v>2</v>
      </c>
      <c r="M299" s="6">
        <v>151</v>
      </c>
      <c r="N299" s="6">
        <v>302</v>
      </c>
      <c r="O299" s="7">
        <v>0</v>
      </c>
      <c r="P299" s="8">
        <f t="shared" si="8"/>
        <v>0</v>
      </c>
      <c r="Q299" s="9">
        <f t="shared" si="9"/>
        <v>302</v>
      </c>
      <c r="R299" s="5">
        <v>6</v>
      </c>
      <c r="S299" s="5" t="s">
        <v>2033</v>
      </c>
      <c r="T299" s="5" t="s">
        <v>2036</v>
      </c>
    </row>
    <row r="300" spans="1:20" x14ac:dyDescent="0.25">
      <c r="A300" s="5" t="s">
        <v>313</v>
      </c>
      <c r="B300" s="10">
        <v>45382</v>
      </c>
      <c r="C300" s="5" t="s">
        <v>1015</v>
      </c>
      <c r="D300" s="11" t="s">
        <v>1318</v>
      </c>
      <c r="E300" s="5" t="s">
        <v>2355</v>
      </c>
      <c r="F300" s="5">
        <v>52</v>
      </c>
      <c r="G300" s="5" t="str" cm="1">
        <f t="array" ref="G300">_xlfn.IFS(F300&lt;12,"Child",F300&lt;18,"Teen",F300&lt;25,"Young",F300&lt;40,"Adult",F300&lt;60,"Middle Age",F300&gt;=60,"Old")</f>
        <v>Middle Age</v>
      </c>
      <c r="H300" s="5" t="s">
        <v>2043</v>
      </c>
      <c r="I300" s="5" t="s">
        <v>2048</v>
      </c>
      <c r="J300" s="5" t="s">
        <v>2024</v>
      </c>
      <c r="K300" s="5" t="str">
        <f>VLOOKUP(J300,Sheet2!$A$1:$B$11,2,FALSE)</f>
        <v>Fashion Accessories</v>
      </c>
      <c r="L300" s="5">
        <v>4</v>
      </c>
      <c r="M300" s="6">
        <v>602</v>
      </c>
      <c r="N300" s="6">
        <v>2408</v>
      </c>
      <c r="O300" s="7">
        <v>0.15</v>
      </c>
      <c r="P300" s="8">
        <f t="shared" si="8"/>
        <v>361.2</v>
      </c>
      <c r="Q300" s="9">
        <f t="shared" si="9"/>
        <v>2046.8</v>
      </c>
      <c r="R300" s="5">
        <v>40</v>
      </c>
      <c r="S300" s="5" t="s">
        <v>2034</v>
      </c>
      <c r="T300" s="5" t="s">
        <v>2036</v>
      </c>
    </row>
    <row r="301" spans="1:20" x14ac:dyDescent="0.25">
      <c r="A301" s="5" t="s">
        <v>314</v>
      </c>
      <c r="B301" s="10">
        <v>45627</v>
      </c>
      <c r="C301" s="5" t="s">
        <v>1015</v>
      </c>
      <c r="D301" s="11" t="s">
        <v>1319</v>
      </c>
      <c r="E301" s="5" t="s">
        <v>2356</v>
      </c>
      <c r="F301" s="5">
        <v>58</v>
      </c>
      <c r="G301" s="5" t="str" cm="1">
        <f t="array" ref="G301">_xlfn.IFS(F301&lt;12,"Child",F301&lt;18,"Teen",F301&lt;25,"Young",F301&lt;40,"Adult",F301&lt;60,"Middle Age",F301&gt;=60,"Old")</f>
        <v>Middle Age</v>
      </c>
      <c r="H301" s="5" t="s">
        <v>2044</v>
      </c>
      <c r="I301" s="5" t="s">
        <v>2045</v>
      </c>
      <c r="J301" s="5" t="s">
        <v>2025</v>
      </c>
      <c r="K301" s="5" t="str">
        <f>VLOOKUP(J301,Sheet2!$A$1:$B$11,2,FALSE)</f>
        <v>Formal Wear</v>
      </c>
      <c r="L301" s="5">
        <v>1</v>
      </c>
      <c r="M301" s="6">
        <v>258</v>
      </c>
      <c r="N301" s="6">
        <v>258</v>
      </c>
      <c r="O301" s="7">
        <v>0.2</v>
      </c>
      <c r="P301" s="8">
        <f t="shared" si="8"/>
        <v>51.6</v>
      </c>
      <c r="Q301" s="9">
        <f t="shared" si="9"/>
        <v>206.4</v>
      </c>
      <c r="R301" s="5">
        <v>4</v>
      </c>
      <c r="S301" s="5" t="s">
        <v>2033</v>
      </c>
      <c r="T301" s="5" t="s">
        <v>2037</v>
      </c>
    </row>
    <row r="302" spans="1:20" x14ac:dyDescent="0.25">
      <c r="A302" s="5" t="s">
        <v>315</v>
      </c>
      <c r="B302" s="10">
        <v>45541</v>
      </c>
      <c r="C302" s="5" t="s">
        <v>1014</v>
      </c>
      <c r="D302" s="11" t="s">
        <v>1320</v>
      </c>
      <c r="E302" s="5" t="s">
        <v>2357</v>
      </c>
      <c r="F302" s="5">
        <v>50</v>
      </c>
      <c r="G302" s="5" t="str" cm="1">
        <f t="array" ref="G302">_xlfn.IFS(F302&lt;12,"Child",F302&lt;18,"Teen",F302&lt;25,"Young",F302&lt;40,"Adult",F302&lt;60,"Middle Age",F302&gt;=60,"Old")</f>
        <v>Middle Age</v>
      </c>
      <c r="H302" s="5" t="s">
        <v>2043</v>
      </c>
      <c r="I302" s="5" t="s">
        <v>2045</v>
      </c>
      <c r="J302" s="5" t="s">
        <v>2024</v>
      </c>
      <c r="K302" s="5" t="str">
        <f>VLOOKUP(J302,Sheet2!$A$1:$B$11,2,FALSE)</f>
        <v>Fashion Accessories</v>
      </c>
      <c r="L302" s="5">
        <v>4</v>
      </c>
      <c r="M302" s="6">
        <v>1168</v>
      </c>
      <c r="N302" s="6">
        <v>4672</v>
      </c>
      <c r="O302" s="7">
        <v>0.1</v>
      </c>
      <c r="P302" s="8">
        <f t="shared" si="8"/>
        <v>467.20000000000005</v>
      </c>
      <c r="Q302" s="9">
        <f t="shared" si="9"/>
        <v>4204.8</v>
      </c>
      <c r="R302" s="5">
        <v>84</v>
      </c>
      <c r="S302" s="5" t="s">
        <v>2033</v>
      </c>
      <c r="T302" s="5" t="s">
        <v>2037</v>
      </c>
    </row>
    <row r="303" spans="1:20" x14ac:dyDescent="0.25">
      <c r="A303" s="5" t="s">
        <v>316</v>
      </c>
      <c r="B303" s="10">
        <v>45373</v>
      </c>
      <c r="C303" s="5" t="s">
        <v>1014</v>
      </c>
      <c r="D303" s="11" t="s">
        <v>1321</v>
      </c>
      <c r="E303" s="5" t="s">
        <v>2358</v>
      </c>
      <c r="F303" s="5">
        <v>48</v>
      </c>
      <c r="G303" s="5" t="str" cm="1">
        <f t="array" ref="G303">_xlfn.IFS(F303&lt;12,"Child",F303&lt;18,"Teen",F303&lt;25,"Young",F303&lt;40,"Adult",F303&lt;60,"Middle Age",F303&gt;=60,"Old")</f>
        <v>Middle Age</v>
      </c>
      <c r="H303" s="5" t="s">
        <v>2043</v>
      </c>
      <c r="I303" s="5" t="s">
        <v>2015</v>
      </c>
      <c r="J303" s="5" t="s">
        <v>2021</v>
      </c>
      <c r="K303" s="5" t="str">
        <f>VLOOKUP(J303,Sheet2!$A$1:$B$11,2,FALSE)</f>
        <v>Casual Wear</v>
      </c>
      <c r="L303" s="5">
        <v>1</v>
      </c>
      <c r="M303" s="6">
        <v>196</v>
      </c>
      <c r="N303" s="6">
        <v>196</v>
      </c>
      <c r="O303" s="7">
        <v>0.1</v>
      </c>
      <c r="P303" s="8">
        <f t="shared" si="8"/>
        <v>19.600000000000001</v>
      </c>
      <c r="Q303" s="9">
        <f t="shared" si="9"/>
        <v>176.4</v>
      </c>
      <c r="R303" s="5">
        <v>3</v>
      </c>
      <c r="S303" s="5" t="s">
        <v>2033</v>
      </c>
      <c r="T303" s="5" t="s">
        <v>2036</v>
      </c>
    </row>
    <row r="304" spans="1:20" x14ac:dyDescent="0.25">
      <c r="A304" s="5" t="s">
        <v>317</v>
      </c>
      <c r="B304" s="10">
        <v>45614</v>
      </c>
      <c r="C304" s="5" t="s">
        <v>1016</v>
      </c>
      <c r="D304" s="11" t="s">
        <v>1322</v>
      </c>
      <c r="E304" s="5" t="s">
        <v>2359</v>
      </c>
      <c r="F304" s="5">
        <v>52</v>
      </c>
      <c r="G304" s="5" t="str" cm="1">
        <f t="array" ref="G304">_xlfn.IFS(F304&lt;12,"Child",F304&lt;18,"Teen",F304&lt;25,"Young",F304&lt;40,"Adult",F304&lt;60,"Middle Age",F304&gt;=60,"Old")</f>
        <v>Middle Age</v>
      </c>
      <c r="H304" s="5" t="s">
        <v>2044</v>
      </c>
      <c r="I304" s="5" t="s">
        <v>2052</v>
      </c>
      <c r="J304" s="5" t="s">
        <v>2020</v>
      </c>
      <c r="K304" s="5" t="str">
        <f>VLOOKUP(J304,Sheet2!$A$1:$B$11,2,FALSE)</f>
        <v>Summer Wear</v>
      </c>
      <c r="L304" s="5">
        <v>5</v>
      </c>
      <c r="M304" s="6">
        <v>312</v>
      </c>
      <c r="N304" s="6">
        <v>1560</v>
      </c>
      <c r="O304" s="7">
        <v>0.15</v>
      </c>
      <c r="P304" s="8">
        <f t="shared" si="8"/>
        <v>234</v>
      </c>
      <c r="Q304" s="9">
        <f t="shared" si="9"/>
        <v>1326</v>
      </c>
      <c r="R304" s="5">
        <v>26</v>
      </c>
      <c r="S304" s="5" t="s">
        <v>2033</v>
      </c>
      <c r="T304" s="5" t="s">
        <v>2036</v>
      </c>
    </row>
    <row r="305" spans="1:20" x14ac:dyDescent="0.25">
      <c r="A305" s="5" t="s">
        <v>318</v>
      </c>
      <c r="B305" s="10">
        <v>45470</v>
      </c>
      <c r="C305" s="5" t="s">
        <v>1018</v>
      </c>
      <c r="D305" s="11" t="s">
        <v>1323</v>
      </c>
      <c r="E305" s="5" t="s">
        <v>2313</v>
      </c>
      <c r="F305" s="5">
        <v>28</v>
      </c>
      <c r="G305" s="5" t="str" cm="1">
        <f t="array" ref="G305">_xlfn.IFS(F305&lt;12,"Child",F305&lt;18,"Teen",F305&lt;25,"Young",F305&lt;40,"Adult",F305&lt;60,"Middle Age",F305&gt;=60,"Old")</f>
        <v>Adult</v>
      </c>
      <c r="H305" s="5" t="s">
        <v>2044</v>
      </c>
      <c r="I305" s="5" t="s">
        <v>2045</v>
      </c>
      <c r="J305" s="5" t="s">
        <v>2024</v>
      </c>
      <c r="K305" s="5" t="str">
        <f>VLOOKUP(J305,Sheet2!$A$1:$B$11,2,FALSE)</f>
        <v>Fashion Accessories</v>
      </c>
      <c r="L305" s="5">
        <v>4</v>
      </c>
      <c r="M305" s="6">
        <v>735</v>
      </c>
      <c r="N305" s="6">
        <v>2940</v>
      </c>
      <c r="O305" s="7">
        <v>0.05</v>
      </c>
      <c r="P305" s="8">
        <f t="shared" si="8"/>
        <v>147</v>
      </c>
      <c r="Q305" s="9">
        <f t="shared" si="9"/>
        <v>2793</v>
      </c>
      <c r="R305" s="5">
        <v>55</v>
      </c>
      <c r="S305" s="5" t="s">
        <v>2032</v>
      </c>
      <c r="T305" s="5" t="s">
        <v>2035</v>
      </c>
    </row>
    <row r="306" spans="1:20" x14ac:dyDescent="0.25">
      <c r="A306" s="5" t="s">
        <v>319</v>
      </c>
      <c r="B306" s="10">
        <v>45549</v>
      </c>
      <c r="C306" s="5" t="s">
        <v>1020</v>
      </c>
      <c r="D306" s="11" t="s">
        <v>1324</v>
      </c>
      <c r="E306" s="5" t="s">
        <v>2360</v>
      </c>
      <c r="F306" s="5">
        <v>19</v>
      </c>
      <c r="G306" s="5" t="str" cm="1">
        <f t="array" ref="G306">_xlfn.IFS(F306&lt;12,"Child",F306&lt;18,"Teen",F306&lt;25,"Young",F306&lt;40,"Adult",F306&lt;60,"Middle Age",F306&gt;=60,"Old")</f>
        <v>Young</v>
      </c>
      <c r="H306" s="5" t="s">
        <v>2044</v>
      </c>
      <c r="I306" s="5" t="s">
        <v>2049</v>
      </c>
      <c r="J306" s="5" t="s">
        <v>2017</v>
      </c>
      <c r="K306" s="5" t="str">
        <f>VLOOKUP(J306,Sheet2!$A$1:$B$11,2,FALSE)</f>
        <v>Casual Wear</v>
      </c>
      <c r="L306" s="5">
        <v>4</v>
      </c>
      <c r="M306" s="6">
        <v>536</v>
      </c>
      <c r="N306" s="6">
        <v>2144</v>
      </c>
      <c r="O306" s="7">
        <v>0.05</v>
      </c>
      <c r="P306" s="8">
        <f t="shared" si="8"/>
        <v>107.2</v>
      </c>
      <c r="Q306" s="9">
        <f t="shared" si="9"/>
        <v>2036.8</v>
      </c>
      <c r="R306" s="5">
        <v>40</v>
      </c>
      <c r="S306" s="5" t="s">
        <v>2034</v>
      </c>
      <c r="T306" s="5" t="s">
        <v>2037</v>
      </c>
    </row>
    <row r="307" spans="1:20" x14ac:dyDescent="0.25">
      <c r="A307" s="5" t="s">
        <v>320</v>
      </c>
      <c r="B307" s="10">
        <v>45449</v>
      </c>
      <c r="C307" s="5" t="s">
        <v>1018</v>
      </c>
      <c r="D307" s="11" t="s">
        <v>1325</v>
      </c>
      <c r="E307" s="5" t="s">
        <v>2361</v>
      </c>
      <c r="F307" s="5">
        <v>18</v>
      </c>
      <c r="G307" s="5" t="str" cm="1">
        <f t="array" ref="G307">_xlfn.IFS(F307&lt;12,"Child",F307&lt;18,"Teen",F307&lt;25,"Young",F307&lt;40,"Adult",F307&lt;60,"Middle Age",F307&gt;=60,"Old")</f>
        <v>Young</v>
      </c>
      <c r="H307" s="5" t="s">
        <v>2043</v>
      </c>
      <c r="I307" s="5" t="s">
        <v>2045</v>
      </c>
      <c r="J307" s="5" t="s">
        <v>2016</v>
      </c>
      <c r="K307" s="5" t="str">
        <f>VLOOKUP(J307,Sheet2!$A$1:$B$11,2,FALSE)</f>
        <v>Winter Wear</v>
      </c>
      <c r="L307" s="5">
        <v>5</v>
      </c>
      <c r="M307" s="6">
        <v>969</v>
      </c>
      <c r="N307" s="6">
        <v>4845</v>
      </c>
      <c r="O307" s="7">
        <v>0</v>
      </c>
      <c r="P307" s="8">
        <f t="shared" si="8"/>
        <v>0</v>
      </c>
      <c r="Q307" s="9">
        <f t="shared" si="9"/>
        <v>4845</v>
      </c>
      <c r="R307" s="5">
        <v>96</v>
      </c>
      <c r="S307" s="5" t="s">
        <v>2034</v>
      </c>
      <c r="T307" s="5" t="s">
        <v>2037</v>
      </c>
    </row>
    <row r="308" spans="1:20" x14ac:dyDescent="0.25">
      <c r="A308" s="5" t="s">
        <v>321</v>
      </c>
      <c r="B308" s="10">
        <v>45631</v>
      </c>
      <c r="C308" s="5" t="s">
        <v>1018</v>
      </c>
      <c r="D308" s="11" t="s">
        <v>1326</v>
      </c>
      <c r="E308" s="5" t="s">
        <v>2362</v>
      </c>
      <c r="F308" s="5">
        <v>40</v>
      </c>
      <c r="G308" s="5" t="str" cm="1">
        <f t="array" ref="G308">_xlfn.IFS(F308&lt;12,"Child",F308&lt;18,"Teen",F308&lt;25,"Young",F308&lt;40,"Adult",F308&lt;60,"Middle Age",F308&gt;=60,"Old")</f>
        <v>Middle Age</v>
      </c>
      <c r="H308" s="5" t="s">
        <v>2044</v>
      </c>
      <c r="I308" s="5" t="s">
        <v>2015</v>
      </c>
      <c r="J308" s="5" t="s">
        <v>2023</v>
      </c>
      <c r="K308" s="5" t="str">
        <f>VLOOKUP(J308,Sheet2!$A$1:$B$11,2,FALSE)</f>
        <v>Formal Wear</v>
      </c>
      <c r="L308" s="5">
        <v>4</v>
      </c>
      <c r="M308" s="6">
        <v>566</v>
      </c>
      <c r="N308" s="6">
        <v>2264</v>
      </c>
      <c r="O308" s="7">
        <v>0.15</v>
      </c>
      <c r="P308" s="8">
        <f t="shared" si="8"/>
        <v>339.59999999999997</v>
      </c>
      <c r="Q308" s="9">
        <f t="shared" si="9"/>
        <v>1924.4</v>
      </c>
      <c r="R308" s="5">
        <v>38</v>
      </c>
      <c r="S308" s="5" t="s">
        <v>2034</v>
      </c>
      <c r="T308" s="5" t="s">
        <v>2035</v>
      </c>
    </row>
    <row r="309" spans="1:20" x14ac:dyDescent="0.25">
      <c r="A309" s="5" t="s">
        <v>322</v>
      </c>
      <c r="B309" s="10">
        <v>45463</v>
      </c>
      <c r="C309" s="5" t="s">
        <v>1018</v>
      </c>
      <c r="D309" s="11" t="s">
        <v>1327</v>
      </c>
      <c r="E309" s="5" t="s">
        <v>2363</v>
      </c>
      <c r="F309" s="5">
        <v>38</v>
      </c>
      <c r="G309" s="5" t="str" cm="1">
        <f t="array" ref="G309">_xlfn.IFS(F309&lt;12,"Child",F309&lt;18,"Teen",F309&lt;25,"Young",F309&lt;40,"Adult",F309&lt;60,"Middle Age",F309&gt;=60,"Old")</f>
        <v>Adult</v>
      </c>
      <c r="H309" s="5" t="s">
        <v>2043</v>
      </c>
      <c r="I309" s="5" t="s">
        <v>2050</v>
      </c>
      <c r="J309" s="5" t="s">
        <v>2018</v>
      </c>
      <c r="K309" s="5" t="str">
        <f>VLOOKUP(J309,Sheet2!$A$1:$B$11,2,FALSE)</f>
        <v>Sportswear</v>
      </c>
      <c r="L309" s="5">
        <v>2</v>
      </c>
      <c r="M309" s="6">
        <v>740</v>
      </c>
      <c r="N309" s="6">
        <v>1480</v>
      </c>
      <c r="O309" s="7">
        <v>0.15</v>
      </c>
      <c r="P309" s="8">
        <f t="shared" si="8"/>
        <v>222</v>
      </c>
      <c r="Q309" s="9">
        <f t="shared" si="9"/>
        <v>1258</v>
      </c>
      <c r="R309" s="5">
        <v>25</v>
      </c>
      <c r="S309" s="5" t="s">
        <v>2033</v>
      </c>
      <c r="T309" s="5" t="s">
        <v>2036</v>
      </c>
    </row>
    <row r="310" spans="1:20" x14ac:dyDescent="0.25">
      <c r="A310" s="5" t="s">
        <v>323</v>
      </c>
      <c r="B310" s="10">
        <v>45420</v>
      </c>
      <c r="C310" s="5" t="s">
        <v>1017</v>
      </c>
      <c r="D310" s="11" t="s">
        <v>1328</v>
      </c>
      <c r="E310" s="5" t="s">
        <v>2364</v>
      </c>
      <c r="F310" s="5">
        <v>36</v>
      </c>
      <c r="G310" s="5" t="str" cm="1">
        <f t="array" ref="G310">_xlfn.IFS(F310&lt;12,"Child",F310&lt;18,"Teen",F310&lt;25,"Young",F310&lt;40,"Adult",F310&lt;60,"Middle Age",F310&gt;=60,"Old")</f>
        <v>Adult</v>
      </c>
      <c r="H310" s="5" t="s">
        <v>2043</v>
      </c>
      <c r="I310" s="5" t="s">
        <v>2050</v>
      </c>
      <c r="J310" s="5" t="s">
        <v>2017</v>
      </c>
      <c r="K310" s="5" t="str">
        <f>VLOOKUP(J310,Sheet2!$A$1:$B$11,2,FALSE)</f>
        <v>Casual Wear</v>
      </c>
      <c r="L310" s="5">
        <v>2</v>
      </c>
      <c r="M310" s="6">
        <v>568</v>
      </c>
      <c r="N310" s="6">
        <v>1136</v>
      </c>
      <c r="O310" s="7">
        <v>0.15</v>
      </c>
      <c r="P310" s="8">
        <f t="shared" si="8"/>
        <v>170.4</v>
      </c>
      <c r="Q310" s="9">
        <f t="shared" si="9"/>
        <v>965.6</v>
      </c>
      <c r="R310" s="5">
        <v>19</v>
      </c>
      <c r="S310" s="5" t="s">
        <v>2033</v>
      </c>
      <c r="T310" s="5" t="s">
        <v>2036</v>
      </c>
    </row>
    <row r="311" spans="1:20" x14ac:dyDescent="0.25">
      <c r="A311" s="5" t="s">
        <v>324</v>
      </c>
      <c r="B311" s="10">
        <v>45719</v>
      </c>
      <c r="C311" s="5" t="s">
        <v>1016</v>
      </c>
      <c r="D311" s="11" t="s">
        <v>1329</v>
      </c>
      <c r="E311" s="5" t="s">
        <v>2365</v>
      </c>
      <c r="F311" s="5">
        <v>55</v>
      </c>
      <c r="G311" s="5" t="str" cm="1">
        <f t="array" ref="G311">_xlfn.IFS(F311&lt;12,"Child",F311&lt;18,"Teen",F311&lt;25,"Young",F311&lt;40,"Adult",F311&lt;60,"Middle Age",F311&gt;=60,"Old")</f>
        <v>Middle Age</v>
      </c>
      <c r="H311" s="5" t="s">
        <v>2043</v>
      </c>
      <c r="I311" s="5" t="s">
        <v>2051</v>
      </c>
      <c r="J311" s="5" t="s">
        <v>2020</v>
      </c>
      <c r="K311" s="5" t="str">
        <f>VLOOKUP(J311,Sheet2!$A$1:$B$11,2,FALSE)</f>
        <v>Summer Wear</v>
      </c>
      <c r="L311" s="5">
        <v>5</v>
      </c>
      <c r="M311" s="6">
        <v>425</v>
      </c>
      <c r="N311" s="6">
        <v>2125</v>
      </c>
      <c r="O311" s="7">
        <v>0</v>
      </c>
      <c r="P311" s="8">
        <f t="shared" si="8"/>
        <v>0</v>
      </c>
      <c r="Q311" s="9">
        <f t="shared" si="9"/>
        <v>2125</v>
      </c>
      <c r="R311" s="5">
        <v>42</v>
      </c>
      <c r="S311" s="5" t="s">
        <v>2034</v>
      </c>
      <c r="T311" s="5" t="s">
        <v>2037</v>
      </c>
    </row>
    <row r="312" spans="1:20" x14ac:dyDescent="0.25">
      <c r="A312" s="5" t="s">
        <v>325</v>
      </c>
      <c r="B312" s="10">
        <v>45612</v>
      </c>
      <c r="C312" s="5" t="s">
        <v>1020</v>
      </c>
      <c r="D312" s="11" t="s">
        <v>1330</v>
      </c>
      <c r="E312" s="5" t="s">
        <v>2366</v>
      </c>
      <c r="F312" s="5">
        <v>37</v>
      </c>
      <c r="G312" s="5" t="str" cm="1">
        <f t="array" ref="G312">_xlfn.IFS(F312&lt;12,"Child",F312&lt;18,"Teen",F312&lt;25,"Young",F312&lt;40,"Adult",F312&lt;60,"Middle Age",F312&gt;=60,"Old")</f>
        <v>Adult</v>
      </c>
      <c r="H312" s="5" t="s">
        <v>2043</v>
      </c>
      <c r="I312" s="5" t="s">
        <v>2015</v>
      </c>
      <c r="J312" s="5" t="s">
        <v>2021</v>
      </c>
      <c r="K312" s="5" t="str">
        <f>VLOOKUP(J312,Sheet2!$A$1:$B$11,2,FALSE)</f>
        <v>Casual Wear</v>
      </c>
      <c r="L312" s="5">
        <v>3</v>
      </c>
      <c r="M312" s="6">
        <v>971</v>
      </c>
      <c r="N312" s="6">
        <v>2913</v>
      </c>
      <c r="O312" s="7">
        <v>0</v>
      </c>
      <c r="P312" s="8">
        <f t="shared" si="8"/>
        <v>0</v>
      </c>
      <c r="Q312" s="9">
        <f t="shared" si="9"/>
        <v>2913</v>
      </c>
      <c r="R312" s="5">
        <v>58</v>
      </c>
      <c r="S312" s="5" t="s">
        <v>2033</v>
      </c>
      <c r="T312" s="5" t="s">
        <v>2035</v>
      </c>
    </row>
    <row r="313" spans="1:20" x14ac:dyDescent="0.25">
      <c r="A313" s="5" t="s">
        <v>326</v>
      </c>
      <c r="B313" s="10">
        <v>45405</v>
      </c>
      <c r="C313" s="5" t="s">
        <v>1019</v>
      </c>
      <c r="D313" s="11" t="s">
        <v>1331</v>
      </c>
      <c r="E313" s="5" t="s">
        <v>2367</v>
      </c>
      <c r="F313" s="5">
        <v>58</v>
      </c>
      <c r="G313" s="5" t="str" cm="1">
        <f t="array" ref="G313">_xlfn.IFS(F313&lt;12,"Child",F313&lt;18,"Teen",F313&lt;25,"Young",F313&lt;40,"Adult",F313&lt;60,"Middle Age",F313&gt;=60,"Old")</f>
        <v>Middle Age</v>
      </c>
      <c r="H313" s="5" t="s">
        <v>2044</v>
      </c>
      <c r="I313" s="5" t="s">
        <v>2045</v>
      </c>
      <c r="J313" s="5" t="s">
        <v>2025</v>
      </c>
      <c r="K313" s="5" t="str">
        <f>VLOOKUP(J313,Sheet2!$A$1:$B$11,2,FALSE)</f>
        <v>Formal Wear</v>
      </c>
      <c r="L313" s="5">
        <v>4</v>
      </c>
      <c r="M313" s="6">
        <v>1116</v>
      </c>
      <c r="N313" s="6">
        <v>4464</v>
      </c>
      <c r="O313" s="7">
        <v>0.15</v>
      </c>
      <c r="P313" s="8">
        <f t="shared" si="8"/>
        <v>669.6</v>
      </c>
      <c r="Q313" s="9">
        <f t="shared" si="9"/>
        <v>3794.4</v>
      </c>
      <c r="R313" s="5">
        <v>75</v>
      </c>
      <c r="S313" s="5" t="s">
        <v>2033</v>
      </c>
      <c r="T313" s="5" t="s">
        <v>2037</v>
      </c>
    </row>
    <row r="314" spans="1:20" x14ac:dyDescent="0.25">
      <c r="A314" s="5" t="s">
        <v>327</v>
      </c>
      <c r="B314" s="10">
        <v>45619</v>
      </c>
      <c r="C314" s="5" t="s">
        <v>1020</v>
      </c>
      <c r="D314" s="11" t="s">
        <v>1332</v>
      </c>
      <c r="E314" s="5" t="s">
        <v>2368</v>
      </c>
      <c r="F314" s="5">
        <v>30</v>
      </c>
      <c r="G314" s="5" t="str" cm="1">
        <f t="array" ref="G314">_xlfn.IFS(F314&lt;12,"Child",F314&lt;18,"Teen",F314&lt;25,"Young",F314&lt;40,"Adult",F314&lt;60,"Middle Age",F314&gt;=60,"Old")</f>
        <v>Adult</v>
      </c>
      <c r="H314" s="5" t="s">
        <v>2044</v>
      </c>
      <c r="I314" s="5" t="s">
        <v>2049</v>
      </c>
      <c r="J314" s="5" t="s">
        <v>2016</v>
      </c>
      <c r="K314" s="5" t="str">
        <f>VLOOKUP(J314,Sheet2!$A$1:$B$11,2,FALSE)</f>
        <v>Winter Wear</v>
      </c>
      <c r="L314" s="5">
        <v>4</v>
      </c>
      <c r="M314" s="6">
        <v>322</v>
      </c>
      <c r="N314" s="6">
        <v>1288</v>
      </c>
      <c r="O314" s="7">
        <v>0.1</v>
      </c>
      <c r="P314" s="8">
        <f t="shared" si="8"/>
        <v>128.80000000000001</v>
      </c>
      <c r="Q314" s="9">
        <f t="shared" si="9"/>
        <v>1159.2</v>
      </c>
      <c r="R314" s="5">
        <v>23</v>
      </c>
      <c r="S314" s="5" t="s">
        <v>2034</v>
      </c>
      <c r="T314" s="5" t="s">
        <v>2036</v>
      </c>
    </row>
    <row r="315" spans="1:20" x14ac:dyDescent="0.25">
      <c r="A315" s="5" t="s">
        <v>328</v>
      </c>
      <c r="B315" s="10">
        <v>45567</v>
      </c>
      <c r="C315" s="5" t="s">
        <v>1017</v>
      </c>
      <c r="D315" s="11" t="s">
        <v>1333</v>
      </c>
      <c r="E315" s="5" t="s">
        <v>2369</v>
      </c>
      <c r="F315" s="5">
        <v>28</v>
      </c>
      <c r="G315" s="5" t="str" cm="1">
        <f t="array" ref="G315">_xlfn.IFS(F315&lt;12,"Child",F315&lt;18,"Teen",F315&lt;25,"Young",F315&lt;40,"Adult",F315&lt;60,"Middle Age",F315&gt;=60,"Old")</f>
        <v>Adult</v>
      </c>
      <c r="H315" s="5" t="s">
        <v>2043</v>
      </c>
      <c r="I315" s="5" t="s">
        <v>2051</v>
      </c>
      <c r="J315" s="5" t="s">
        <v>2023</v>
      </c>
      <c r="K315" s="5" t="str">
        <f>VLOOKUP(J315,Sheet2!$A$1:$B$11,2,FALSE)</f>
        <v>Formal Wear</v>
      </c>
      <c r="L315" s="5">
        <v>4</v>
      </c>
      <c r="M315" s="6">
        <v>782</v>
      </c>
      <c r="N315" s="6">
        <v>3128</v>
      </c>
      <c r="O315" s="7">
        <v>0.2</v>
      </c>
      <c r="P315" s="8">
        <f t="shared" si="8"/>
        <v>625.6</v>
      </c>
      <c r="Q315" s="9">
        <f t="shared" si="9"/>
        <v>2502.4</v>
      </c>
      <c r="R315" s="5">
        <v>50</v>
      </c>
      <c r="S315" s="5" t="s">
        <v>2033</v>
      </c>
      <c r="T315" s="5" t="s">
        <v>2036</v>
      </c>
    </row>
    <row r="316" spans="1:20" x14ac:dyDescent="0.25">
      <c r="A316" s="5" t="s">
        <v>329</v>
      </c>
      <c r="B316" s="10">
        <v>45622</v>
      </c>
      <c r="C316" s="5" t="s">
        <v>1019</v>
      </c>
      <c r="D316" s="11" t="s">
        <v>1334</v>
      </c>
      <c r="E316" s="5" t="s">
        <v>2370</v>
      </c>
      <c r="F316" s="5">
        <v>28</v>
      </c>
      <c r="G316" s="5" t="str" cm="1">
        <f t="array" ref="G316">_xlfn.IFS(F316&lt;12,"Child",F316&lt;18,"Teen",F316&lt;25,"Young",F316&lt;40,"Adult",F316&lt;60,"Middle Age",F316&gt;=60,"Old")</f>
        <v>Adult</v>
      </c>
      <c r="H316" s="5" t="s">
        <v>2043</v>
      </c>
      <c r="I316" s="5" t="s">
        <v>2045</v>
      </c>
      <c r="J316" s="5" t="s">
        <v>2018</v>
      </c>
      <c r="K316" s="5" t="str">
        <f>VLOOKUP(J316,Sheet2!$A$1:$B$11,2,FALSE)</f>
        <v>Sportswear</v>
      </c>
      <c r="L316" s="5">
        <v>2</v>
      </c>
      <c r="M316" s="6">
        <v>700</v>
      </c>
      <c r="N316" s="6">
        <v>1400</v>
      </c>
      <c r="O316" s="7">
        <v>0.2</v>
      </c>
      <c r="P316" s="8">
        <f t="shared" si="8"/>
        <v>280</v>
      </c>
      <c r="Q316" s="9">
        <f t="shared" si="9"/>
        <v>1120</v>
      </c>
      <c r="R316" s="5">
        <v>22</v>
      </c>
      <c r="S316" s="5" t="s">
        <v>2033</v>
      </c>
      <c r="T316" s="5" t="s">
        <v>2036</v>
      </c>
    </row>
    <row r="317" spans="1:20" x14ac:dyDescent="0.25">
      <c r="A317" s="5" t="s">
        <v>330</v>
      </c>
      <c r="B317" s="10">
        <v>45465</v>
      </c>
      <c r="C317" s="5" t="s">
        <v>1020</v>
      </c>
      <c r="D317" s="11" t="s">
        <v>1335</v>
      </c>
      <c r="E317" s="5" t="s">
        <v>2371</v>
      </c>
      <c r="F317" s="5">
        <v>32</v>
      </c>
      <c r="G317" s="5" t="str" cm="1">
        <f t="array" ref="G317">_xlfn.IFS(F317&lt;12,"Child",F317&lt;18,"Teen",F317&lt;25,"Young",F317&lt;40,"Adult",F317&lt;60,"Middle Age",F317&gt;=60,"Old")</f>
        <v>Adult</v>
      </c>
      <c r="H317" s="5" t="s">
        <v>2044</v>
      </c>
      <c r="I317" s="5" t="s">
        <v>2045</v>
      </c>
      <c r="J317" s="5" t="s">
        <v>2019</v>
      </c>
      <c r="K317" s="5" t="str">
        <f>VLOOKUP(J317,Sheet2!$A$1:$B$11,2,FALSE)</f>
        <v>Formal Wear</v>
      </c>
      <c r="L317" s="5">
        <v>2</v>
      </c>
      <c r="M317" s="6">
        <v>1122</v>
      </c>
      <c r="N317" s="6">
        <v>2244</v>
      </c>
      <c r="O317" s="7">
        <v>0.1</v>
      </c>
      <c r="P317" s="8">
        <f t="shared" si="8"/>
        <v>224.4</v>
      </c>
      <c r="Q317" s="9">
        <f t="shared" si="9"/>
        <v>2019.6</v>
      </c>
      <c r="R317" s="5">
        <v>40</v>
      </c>
      <c r="S317" s="5" t="s">
        <v>2032</v>
      </c>
      <c r="T317" s="5" t="s">
        <v>2036</v>
      </c>
    </row>
    <row r="318" spans="1:20" x14ac:dyDescent="0.25">
      <c r="A318" s="5" t="s">
        <v>331</v>
      </c>
      <c r="B318" s="10">
        <v>45423</v>
      </c>
      <c r="C318" s="5" t="s">
        <v>1020</v>
      </c>
      <c r="D318" s="11" t="s">
        <v>1336</v>
      </c>
      <c r="E318" s="5" t="s">
        <v>2372</v>
      </c>
      <c r="F318" s="5">
        <v>57</v>
      </c>
      <c r="G318" s="5" t="str" cm="1">
        <f t="array" ref="G318">_xlfn.IFS(F318&lt;12,"Child",F318&lt;18,"Teen",F318&lt;25,"Young",F318&lt;40,"Adult",F318&lt;60,"Middle Age",F318&gt;=60,"Old")</f>
        <v>Middle Age</v>
      </c>
      <c r="H318" s="5" t="s">
        <v>2043</v>
      </c>
      <c r="I318" s="5" t="s">
        <v>2015</v>
      </c>
      <c r="J318" s="5" t="s">
        <v>2016</v>
      </c>
      <c r="K318" s="5" t="str">
        <f>VLOOKUP(J318,Sheet2!$A$1:$B$11,2,FALSE)</f>
        <v>Winter Wear</v>
      </c>
      <c r="L318" s="5">
        <v>2</v>
      </c>
      <c r="M318" s="6">
        <v>623</v>
      </c>
      <c r="N318" s="6">
        <v>1246</v>
      </c>
      <c r="O318" s="7">
        <v>0.15</v>
      </c>
      <c r="P318" s="8">
        <f t="shared" si="8"/>
        <v>186.9</v>
      </c>
      <c r="Q318" s="9">
        <f t="shared" si="9"/>
        <v>1059.0999999999999</v>
      </c>
      <c r="R318" s="5">
        <v>21</v>
      </c>
      <c r="S318" s="5" t="s">
        <v>2033</v>
      </c>
      <c r="T318" s="5" t="s">
        <v>2035</v>
      </c>
    </row>
    <row r="319" spans="1:20" x14ac:dyDescent="0.25">
      <c r="A319" s="5" t="s">
        <v>332</v>
      </c>
      <c r="B319" s="10">
        <v>45695</v>
      </c>
      <c r="C319" s="5" t="s">
        <v>1014</v>
      </c>
      <c r="D319" s="11" t="s">
        <v>1337</v>
      </c>
      <c r="E319" s="5" t="s">
        <v>2373</v>
      </c>
      <c r="F319" s="5">
        <v>26</v>
      </c>
      <c r="G319" s="5" t="str" cm="1">
        <f t="array" ref="G319">_xlfn.IFS(F319&lt;12,"Child",F319&lt;18,"Teen",F319&lt;25,"Young",F319&lt;40,"Adult",F319&lt;60,"Middle Age",F319&gt;=60,"Old")</f>
        <v>Adult</v>
      </c>
      <c r="H319" s="5" t="s">
        <v>2043</v>
      </c>
      <c r="I319" s="5" t="s">
        <v>2052</v>
      </c>
      <c r="J319" s="5" t="s">
        <v>2019</v>
      </c>
      <c r="K319" s="5" t="str">
        <f>VLOOKUP(J319,Sheet2!$A$1:$B$11,2,FALSE)</f>
        <v>Formal Wear</v>
      </c>
      <c r="L319" s="5">
        <v>3</v>
      </c>
      <c r="M319" s="6">
        <v>914</v>
      </c>
      <c r="N319" s="6">
        <v>2742</v>
      </c>
      <c r="O319" s="7">
        <v>0.15</v>
      </c>
      <c r="P319" s="8">
        <f t="shared" si="8"/>
        <v>411.3</v>
      </c>
      <c r="Q319" s="9">
        <f t="shared" si="9"/>
        <v>2330.6999999999998</v>
      </c>
      <c r="R319" s="5">
        <v>46</v>
      </c>
      <c r="S319" s="5" t="s">
        <v>2032</v>
      </c>
      <c r="T319" s="5" t="s">
        <v>2035</v>
      </c>
    </row>
    <row r="320" spans="1:20" x14ac:dyDescent="0.25">
      <c r="A320" s="5" t="s">
        <v>333</v>
      </c>
      <c r="B320" s="10">
        <v>45371</v>
      </c>
      <c r="C320" s="5" t="s">
        <v>1017</v>
      </c>
      <c r="D320" s="11" t="s">
        <v>1338</v>
      </c>
      <c r="E320" s="5" t="s">
        <v>2374</v>
      </c>
      <c r="F320" s="5">
        <v>57</v>
      </c>
      <c r="G320" s="5" t="str" cm="1">
        <f t="array" ref="G320">_xlfn.IFS(F320&lt;12,"Child",F320&lt;18,"Teen",F320&lt;25,"Young",F320&lt;40,"Adult",F320&lt;60,"Middle Age",F320&gt;=60,"Old")</f>
        <v>Middle Age</v>
      </c>
      <c r="H320" s="5" t="s">
        <v>2044</v>
      </c>
      <c r="I320" s="5" t="s">
        <v>2052</v>
      </c>
      <c r="J320" s="5" t="s">
        <v>2019</v>
      </c>
      <c r="K320" s="5" t="str">
        <f>VLOOKUP(J320,Sheet2!$A$1:$B$11,2,FALSE)</f>
        <v>Formal Wear</v>
      </c>
      <c r="L320" s="5">
        <v>3</v>
      </c>
      <c r="M320" s="6">
        <v>750</v>
      </c>
      <c r="N320" s="6">
        <v>2250</v>
      </c>
      <c r="O320" s="7">
        <v>0.2</v>
      </c>
      <c r="P320" s="8">
        <f t="shared" si="8"/>
        <v>450</v>
      </c>
      <c r="Q320" s="9">
        <f t="shared" si="9"/>
        <v>1800</v>
      </c>
      <c r="R320" s="5">
        <v>36</v>
      </c>
      <c r="S320" s="5" t="s">
        <v>2032</v>
      </c>
      <c r="T320" s="5" t="s">
        <v>2037</v>
      </c>
    </row>
    <row r="321" spans="1:20" x14ac:dyDescent="0.25">
      <c r="A321" s="5" t="s">
        <v>334</v>
      </c>
      <c r="B321" s="10">
        <v>45645</v>
      </c>
      <c r="C321" s="5" t="s">
        <v>1018</v>
      </c>
      <c r="D321" s="11" t="s">
        <v>1339</v>
      </c>
      <c r="E321" s="5" t="s">
        <v>2375</v>
      </c>
      <c r="F321" s="5">
        <v>34</v>
      </c>
      <c r="G321" s="5" t="str" cm="1">
        <f t="array" ref="G321">_xlfn.IFS(F321&lt;12,"Child",F321&lt;18,"Teen",F321&lt;25,"Young",F321&lt;40,"Adult",F321&lt;60,"Middle Age",F321&gt;=60,"Old")</f>
        <v>Adult</v>
      </c>
      <c r="H321" s="5" t="s">
        <v>2044</v>
      </c>
      <c r="I321" s="5" t="s">
        <v>2046</v>
      </c>
      <c r="J321" s="5" t="s">
        <v>2025</v>
      </c>
      <c r="K321" s="5" t="str">
        <f>VLOOKUP(J321,Sheet2!$A$1:$B$11,2,FALSE)</f>
        <v>Formal Wear</v>
      </c>
      <c r="L321" s="5">
        <v>1</v>
      </c>
      <c r="M321" s="6">
        <v>306</v>
      </c>
      <c r="N321" s="6">
        <v>306</v>
      </c>
      <c r="O321" s="7">
        <v>0.05</v>
      </c>
      <c r="P321" s="8">
        <f t="shared" si="8"/>
        <v>15.3</v>
      </c>
      <c r="Q321" s="9">
        <f t="shared" si="9"/>
        <v>290.7</v>
      </c>
      <c r="R321" s="5">
        <v>5</v>
      </c>
      <c r="S321" s="5" t="s">
        <v>2034</v>
      </c>
      <c r="T321" s="5" t="s">
        <v>2037</v>
      </c>
    </row>
    <row r="322" spans="1:20" x14ac:dyDescent="0.25">
      <c r="A322" s="5" t="s">
        <v>335</v>
      </c>
      <c r="B322" s="10">
        <v>45604</v>
      </c>
      <c r="C322" s="5" t="s">
        <v>1014</v>
      </c>
      <c r="D322" s="11" t="s">
        <v>1340</v>
      </c>
      <c r="E322" s="5" t="s">
        <v>2376</v>
      </c>
      <c r="F322" s="5">
        <v>55</v>
      </c>
      <c r="G322" s="5" t="str" cm="1">
        <f t="array" ref="G322">_xlfn.IFS(F322&lt;12,"Child",F322&lt;18,"Teen",F322&lt;25,"Young",F322&lt;40,"Adult",F322&lt;60,"Middle Age",F322&gt;=60,"Old")</f>
        <v>Middle Age</v>
      </c>
      <c r="H322" s="5" t="s">
        <v>2043</v>
      </c>
      <c r="I322" s="5" t="s">
        <v>2049</v>
      </c>
      <c r="J322" s="5" t="s">
        <v>2021</v>
      </c>
      <c r="K322" s="5" t="str">
        <f>VLOOKUP(J322,Sheet2!$A$1:$B$11,2,FALSE)</f>
        <v>Casual Wear</v>
      </c>
      <c r="L322" s="5">
        <v>5</v>
      </c>
      <c r="M322" s="6">
        <v>469</v>
      </c>
      <c r="N322" s="6">
        <v>2345</v>
      </c>
      <c r="O322" s="7">
        <v>0.1</v>
      </c>
      <c r="P322" s="8">
        <f t="shared" si="8"/>
        <v>234.5</v>
      </c>
      <c r="Q322" s="9">
        <f t="shared" si="9"/>
        <v>2110.5</v>
      </c>
      <c r="R322" s="5">
        <v>42</v>
      </c>
      <c r="S322" s="5" t="s">
        <v>2032</v>
      </c>
      <c r="T322" s="5" t="s">
        <v>2035</v>
      </c>
    </row>
    <row r="323" spans="1:20" x14ac:dyDescent="0.25">
      <c r="A323" s="5" t="s">
        <v>336</v>
      </c>
      <c r="B323" s="10">
        <v>45704</v>
      </c>
      <c r="C323" s="5" t="s">
        <v>1015</v>
      </c>
      <c r="D323" s="11" t="s">
        <v>1341</v>
      </c>
      <c r="E323" s="5" t="s">
        <v>2377</v>
      </c>
      <c r="F323" s="5">
        <v>36</v>
      </c>
      <c r="G323" s="5" t="str" cm="1">
        <f t="array" ref="G323">_xlfn.IFS(F323&lt;12,"Child",F323&lt;18,"Teen",F323&lt;25,"Young",F323&lt;40,"Adult",F323&lt;60,"Middle Age",F323&gt;=60,"Old")</f>
        <v>Adult</v>
      </c>
      <c r="H323" s="5" t="s">
        <v>2044</v>
      </c>
      <c r="I323" s="5" t="s">
        <v>2047</v>
      </c>
      <c r="J323" s="5" t="s">
        <v>2023</v>
      </c>
      <c r="K323" s="5" t="str">
        <f>VLOOKUP(J323,Sheet2!$A$1:$B$11,2,FALSE)</f>
        <v>Formal Wear</v>
      </c>
      <c r="L323" s="5">
        <v>5</v>
      </c>
      <c r="M323" s="6">
        <v>747</v>
      </c>
      <c r="N323" s="6">
        <v>3735</v>
      </c>
      <c r="O323" s="7">
        <v>0.15</v>
      </c>
      <c r="P323" s="8">
        <f t="shared" ref="P323:P386" si="10">N323*O323</f>
        <v>560.25</v>
      </c>
      <c r="Q323" s="9">
        <f t="shared" ref="Q323:Q386" si="11">N323-P323</f>
        <v>3174.75</v>
      </c>
      <c r="R323" s="5">
        <v>63</v>
      </c>
      <c r="S323" s="5" t="s">
        <v>2033</v>
      </c>
      <c r="T323" s="5" t="s">
        <v>2035</v>
      </c>
    </row>
    <row r="324" spans="1:20" x14ac:dyDescent="0.25">
      <c r="A324" s="5" t="s">
        <v>337</v>
      </c>
      <c r="B324" s="10">
        <v>45688</v>
      </c>
      <c r="C324" s="5" t="s">
        <v>1014</v>
      </c>
      <c r="D324" s="11" t="s">
        <v>1342</v>
      </c>
      <c r="E324" s="5" t="s">
        <v>2378</v>
      </c>
      <c r="F324" s="5">
        <v>49</v>
      </c>
      <c r="G324" s="5" t="str" cm="1">
        <f t="array" ref="G324">_xlfn.IFS(F324&lt;12,"Child",F324&lt;18,"Teen",F324&lt;25,"Young",F324&lt;40,"Adult",F324&lt;60,"Middle Age",F324&gt;=60,"Old")</f>
        <v>Middle Age</v>
      </c>
      <c r="H324" s="5" t="s">
        <v>2043</v>
      </c>
      <c r="I324" s="5" t="s">
        <v>2015</v>
      </c>
      <c r="J324" s="5" t="s">
        <v>2022</v>
      </c>
      <c r="K324" s="5" t="str">
        <f>VLOOKUP(J324,Sheet2!$A$1:$B$11,2,FALSE)</f>
        <v>Sportswear</v>
      </c>
      <c r="L324" s="5">
        <v>2</v>
      </c>
      <c r="M324" s="6">
        <v>372</v>
      </c>
      <c r="N324" s="6">
        <v>744</v>
      </c>
      <c r="O324" s="7">
        <v>0.15</v>
      </c>
      <c r="P324" s="8">
        <f t="shared" si="10"/>
        <v>111.6</v>
      </c>
      <c r="Q324" s="9">
        <f t="shared" si="11"/>
        <v>632.4</v>
      </c>
      <c r="R324" s="5">
        <v>12</v>
      </c>
      <c r="S324" s="5" t="s">
        <v>2034</v>
      </c>
      <c r="T324" s="5" t="s">
        <v>2037</v>
      </c>
    </row>
    <row r="325" spans="1:20" x14ac:dyDescent="0.25">
      <c r="A325" s="5" t="s">
        <v>338</v>
      </c>
      <c r="B325" s="10">
        <v>45644</v>
      </c>
      <c r="C325" s="5" t="s">
        <v>1017</v>
      </c>
      <c r="D325" s="11" t="s">
        <v>1343</v>
      </c>
      <c r="E325" s="5" t="s">
        <v>2379</v>
      </c>
      <c r="F325" s="5">
        <v>43</v>
      </c>
      <c r="G325" s="5" t="str" cm="1">
        <f t="array" ref="G325">_xlfn.IFS(F325&lt;12,"Child",F325&lt;18,"Teen",F325&lt;25,"Young",F325&lt;40,"Adult",F325&lt;60,"Middle Age",F325&gt;=60,"Old")</f>
        <v>Middle Age</v>
      </c>
      <c r="H325" s="5" t="s">
        <v>2044</v>
      </c>
      <c r="I325" s="5" t="s">
        <v>2052</v>
      </c>
      <c r="J325" s="5" t="s">
        <v>2022</v>
      </c>
      <c r="K325" s="5" t="str">
        <f>VLOOKUP(J325,Sheet2!$A$1:$B$11,2,FALSE)</f>
        <v>Sportswear</v>
      </c>
      <c r="L325" s="5">
        <v>2</v>
      </c>
      <c r="M325" s="6">
        <v>176</v>
      </c>
      <c r="N325" s="6">
        <v>352</v>
      </c>
      <c r="O325" s="7">
        <v>0.2</v>
      </c>
      <c r="P325" s="8">
        <f t="shared" si="10"/>
        <v>70.400000000000006</v>
      </c>
      <c r="Q325" s="9">
        <f t="shared" si="11"/>
        <v>281.60000000000002</v>
      </c>
      <c r="R325" s="5">
        <v>5</v>
      </c>
      <c r="S325" s="5" t="s">
        <v>2034</v>
      </c>
      <c r="T325" s="5" t="s">
        <v>2036</v>
      </c>
    </row>
    <row r="326" spans="1:20" x14ac:dyDescent="0.25">
      <c r="A326" s="5" t="s">
        <v>339</v>
      </c>
      <c r="B326" s="10">
        <v>45717</v>
      </c>
      <c r="C326" s="5" t="s">
        <v>1020</v>
      </c>
      <c r="D326" s="11" t="s">
        <v>1344</v>
      </c>
      <c r="E326" s="5" t="s">
        <v>2380</v>
      </c>
      <c r="F326" s="5">
        <v>24</v>
      </c>
      <c r="G326" s="5" t="str" cm="1">
        <f t="array" ref="G326">_xlfn.IFS(F326&lt;12,"Child",F326&lt;18,"Teen",F326&lt;25,"Young",F326&lt;40,"Adult",F326&lt;60,"Middle Age",F326&gt;=60,"Old")</f>
        <v>Young</v>
      </c>
      <c r="H326" s="5" t="s">
        <v>2043</v>
      </c>
      <c r="I326" s="5" t="s">
        <v>2050</v>
      </c>
      <c r="J326" s="5" t="s">
        <v>2025</v>
      </c>
      <c r="K326" s="5" t="str">
        <f>VLOOKUP(J326,Sheet2!$A$1:$B$11,2,FALSE)</f>
        <v>Formal Wear</v>
      </c>
      <c r="L326" s="5">
        <v>4</v>
      </c>
      <c r="M326" s="6">
        <v>695</v>
      </c>
      <c r="N326" s="6">
        <v>2780</v>
      </c>
      <c r="O326" s="7">
        <v>0.05</v>
      </c>
      <c r="P326" s="8">
        <f t="shared" si="10"/>
        <v>139</v>
      </c>
      <c r="Q326" s="9">
        <f t="shared" si="11"/>
        <v>2641</v>
      </c>
      <c r="R326" s="5">
        <v>52</v>
      </c>
      <c r="S326" s="5" t="s">
        <v>2034</v>
      </c>
      <c r="T326" s="5" t="s">
        <v>2037</v>
      </c>
    </row>
    <row r="327" spans="1:20" x14ac:dyDescent="0.25">
      <c r="A327" s="5" t="s">
        <v>340</v>
      </c>
      <c r="B327" s="10">
        <v>45613</v>
      </c>
      <c r="C327" s="5" t="s">
        <v>1015</v>
      </c>
      <c r="D327" s="11" t="s">
        <v>1345</v>
      </c>
      <c r="E327" s="5" t="s">
        <v>2381</v>
      </c>
      <c r="F327" s="5">
        <v>19</v>
      </c>
      <c r="G327" s="5" t="str" cm="1">
        <f t="array" ref="G327">_xlfn.IFS(F327&lt;12,"Child",F327&lt;18,"Teen",F327&lt;25,"Young",F327&lt;40,"Adult",F327&lt;60,"Middle Age",F327&gt;=60,"Old")</f>
        <v>Young</v>
      </c>
      <c r="H327" s="5" t="s">
        <v>2044</v>
      </c>
      <c r="I327" s="5" t="s">
        <v>2050</v>
      </c>
      <c r="J327" s="5" t="s">
        <v>2023</v>
      </c>
      <c r="K327" s="5" t="str">
        <f>VLOOKUP(J327,Sheet2!$A$1:$B$11,2,FALSE)</f>
        <v>Formal Wear</v>
      </c>
      <c r="L327" s="5">
        <v>1</v>
      </c>
      <c r="M327" s="6">
        <v>1049</v>
      </c>
      <c r="N327" s="6">
        <v>1049</v>
      </c>
      <c r="O327" s="7">
        <v>0.2</v>
      </c>
      <c r="P327" s="8">
        <f t="shared" si="10"/>
        <v>209.8</v>
      </c>
      <c r="Q327" s="9">
        <f t="shared" si="11"/>
        <v>839.2</v>
      </c>
      <c r="R327" s="5">
        <v>16</v>
      </c>
      <c r="S327" s="5" t="s">
        <v>2034</v>
      </c>
      <c r="T327" s="5" t="s">
        <v>2035</v>
      </c>
    </row>
    <row r="328" spans="1:20" x14ac:dyDescent="0.25">
      <c r="A328" s="5" t="s">
        <v>341</v>
      </c>
      <c r="B328" s="10">
        <v>45686</v>
      </c>
      <c r="C328" s="5" t="s">
        <v>1017</v>
      </c>
      <c r="D328" s="11" t="s">
        <v>1346</v>
      </c>
      <c r="E328" s="5" t="s">
        <v>2382</v>
      </c>
      <c r="F328" s="5">
        <v>42</v>
      </c>
      <c r="G328" s="5" t="str" cm="1">
        <f t="array" ref="G328">_xlfn.IFS(F328&lt;12,"Child",F328&lt;18,"Teen",F328&lt;25,"Young",F328&lt;40,"Adult",F328&lt;60,"Middle Age",F328&gt;=60,"Old")</f>
        <v>Middle Age</v>
      </c>
      <c r="H328" s="5" t="s">
        <v>2043</v>
      </c>
      <c r="I328" s="5" t="s">
        <v>2045</v>
      </c>
      <c r="J328" s="5" t="s">
        <v>2018</v>
      </c>
      <c r="K328" s="5" t="str">
        <f>VLOOKUP(J328,Sheet2!$A$1:$B$11,2,FALSE)</f>
        <v>Sportswear</v>
      </c>
      <c r="L328" s="5">
        <v>1</v>
      </c>
      <c r="M328" s="6">
        <v>829</v>
      </c>
      <c r="N328" s="6">
        <v>829</v>
      </c>
      <c r="O328" s="7">
        <v>0.1</v>
      </c>
      <c r="P328" s="8">
        <f t="shared" si="10"/>
        <v>82.9</v>
      </c>
      <c r="Q328" s="9">
        <f t="shared" si="11"/>
        <v>746.1</v>
      </c>
      <c r="R328" s="5">
        <v>14</v>
      </c>
      <c r="S328" s="5" t="s">
        <v>2032</v>
      </c>
      <c r="T328" s="5" t="s">
        <v>2035</v>
      </c>
    </row>
    <row r="329" spans="1:20" x14ac:dyDescent="0.25">
      <c r="A329" s="5" t="s">
        <v>342</v>
      </c>
      <c r="B329" s="10">
        <v>45641</v>
      </c>
      <c r="C329" s="5" t="s">
        <v>1015</v>
      </c>
      <c r="D329" s="11" t="s">
        <v>1347</v>
      </c>
      <c r="E329" s="5" t="s">
        <v>2383</v>
      </c>
      <c r="F329" s="5">
        <v>28</v>
      </c>
      <c r="G329" s="5" t="str" cm="1">
        <f t="array" ref="G329">_xlfn.IFS(F329&lt;12,"Child",F329&lt;18,"Teen",F329&lt;25,"Young",F329&lt;40,"Adult",F329&lt;60,"Middle Age",F329&gt;=60,"Old")</f>
        <v>Adult</v>
      </c>
      <c r="H329" s="5" t="s">
        <v>2043</v>
      </c>
      <c r="I329" s="5" t="s">
        <v>2045</v>
      </c>
      <c r="J329" s="5" t="s">
        <v>2024</v>
      </c>
      <c r="K329" s="5" t="str">
        <f>VLOOKUP(J329,Sheet2!$A$1:$B$11,2,FALSE)</f>
        <v>Fashion Accessories</v>
      </c>
      <c r="L329" s="5">
        <v>1</v>
      </c>
      <c r="M329" s="6">
        <v>672</v>
      </c>
      <c r="N329" s="6">
        <v>672</v>
      </c>
      <c r="O329" s="7">
        <v>0.1</v>
      </c>
      <c r="P329" s="8">
        <f t="shared" si="10"/>
        <v>67.2</v>
      </c>
      <c r="Q329" s="9">
        <f t="shared" si="11"/>
        <v>604.79999999999995</v>
      </c>
      <c r="R329" s="5">
        <v>12</v>
      </c>
      <c r="S329" s="5" t="s">
        <v>2034</v>
      </c>
      <c r="T329" s="5" t="s">
        <v>2037</v>
      </c>
    </row>
    <row r="330" spans="1:20" x14ac:dyDescent="0.25">
      <c r="A330" s="5" t="s">
        <v>343</v>
      </c>
      <c r="B330" s="10">
        <v>45620</v>
      </c>
      <c r="C330" s="5" t="s">
        <v>1015</v>
      </c>
      <c r="D330" s="11" t="s">
        <v>1348</v>
      </c>
      <c r="E330" s="5" t="s">
        <v>2384</v>
      </c>
      <c r="F330" s="5">
        <v>44</v>
      </c>
      <c r="G330" s="5" t="str" cm="1">
        <f t="array" ref="G330">_xlfn.IFS(F330&lt;12,"Child",F330&lt;18,"Teen",F330&lt;25,"Young",F330&lt;40,"Adult",F330&lt;60,"Middle Age",F330&gt;=60,"Old")</f>
        <v>Middle Age</v>
      </c>
      <c r="H330" s="5" t="s">
        <v>2043</v>
      </c>
      <c r="I330" s="5" t="s">
        <v>2045</v>
      </c>
      <c r="J330" s="5" t="s">
        <v>2021</v>
      </c>
      <c r="K330" s="5" t="str">
        <f>VLOOKUP(J330,Sheet2!$A$1:$B$11,2,FALSE)</f>
        <v>Casual Wear</v>
      </c>
      <c r="L330" s="5">
        <v>3</v>
      </c>
      <c r="M330" s="6">
        <v>361</v>
      </c>
      <c r="N330" s="6">
        <v>1083</v>
      </c>
      <c r="O330" s="7">
        <v>0.1</v>
      </c>
      <c r="P330" s="8">
        <f t="shared" si="10"/>
        <v>108.30000000000001</v>
      </c>
      <c r="Q330" s="9">
        <f t="shared" si="11"/>
        <v>974.7</v>
      </c>
      <c r="R330" s="5">
        <v>19</v>
      </c>
      <c r="S330" s="5" t="s">
        <v>2033</v>
      </c>
      <c r="T330" s="5" t="s">
        <v>2035</v>
      </c>
    </row>
    <row r="331" spans="1:20" x14ac:dyDescent="0.25">
      <c r="A331" s="5" t="s">
        <v>344</v>
      </c>
      <c r="B331" s="10">
        <v>45533</v>
      </c>
      <c r="C331" s="5" t="s">
        <v>1018</v>
      </c>
      <c r="D331" s="11" t="s">
        <v>1349</v>
      </c>
      <c r="E331" s="5" t="s">
        <v>2385</v>
      </c>
      <c r="F331" s="5">
        <v>30</v>
      </c>
      <c r="G331" s="5" t="str" cm="1">
        <f t="array" ref="G331">_xlfn.IFS(F331&lt;12,"Child",F331&lt;18,"Teen",F331&lt;25,"Young",F331&lt;40,"Adult",F331&lt;60,"Middle Age",F331&gt;=60,"Old")</f>
        <v>Adult</v>
      </c>
      <c r="H331" s="5" t="s">
        <v>2044</v>
      </c>
      <c r="I331" s="5" t="s">
        <v>2047</v>
      </c>
      <c r="J331" s="5" t="s">
        <v>2022</v>
      </c>
      <c r="K331" s="5" t="str">
        <f>VLOOKUP(J331,Sheet2!$A$1:$B$11,2,FALSE)</f>
        <v>Sportswear</v>
      </c>
      <c r="L331" s="5">
        <v>1</v>
      </c>
      <c r="M331" s="6">
        <v>1069</v>
      </c>
      <c r="N331" s="6">
        <v>1069</v>
      </c>
      <c r="O331" s="7">
        <v>0.15</v>
      </c>
      <c r="P331" s="8">
        <f t="shared" si="10"/>
        <v>160.35</v>
      </c>
      <c r="Q331" s="9">
        <f t="shared" si="11"/>
        <v>908.65</v>
      </c>
      <c r="R331" s="5">
        <v>18</v>
      </c>
      <c r="S331" s="5" t="s">
        <v>2032</v>
      </c>
      <c r="T331" s="5" t="s">
        <v>2036</v>
      </c>
    </row>
    <row r="332" spans="1:20" x14ac:dyDescent="0.25">
      <c r="A332" s="5" t="s">
        <v>345</v>
      </c>
      <c r="B332" s="10">
        <v>45495</v>
      </c>
      <c r="C332" s="5" t="s">
        <v>1016</v>
      </c>
      <c r="D332" s="11" t="s">
        <v>1350</v>
      </c>
      <c r="E332" s="5" t="s">
        <v>2386</v>
      </c>
      <c r="F332" s="5">
        <v>23</v>
      </c>
      <c r="G332" s="5" t="str" cm="1">
        <f t="array" ref="G332">_xlfn.IFS(F332&lt;12,"Child",F332&lt;18,"Teen",F332&lt;25,"Young",F332&lt;40,"Adult",F332&lt;60,"Middle Age",F332&gt;=60,"Old")</f>
        <v>Young</v>
      </c>
      <c r="H332" s="5" t="s">
        <v>2043</v>
      </c>
      <c r="I332" s="5" t="s">
        <v>2051</v>
      </c>
      <c r="J332" s="5" t="s">
        <v>2025</v>
      </c>
      <c r="K332" s="5" t="str">
        <f>VLOOKUP(J332,Sheet2!$A$1:$B$11,2,FALSE)</f>
        <v>Formal Wear</v>
      </c>
      <c r="L332" s="5">
        <v>2</v>
      </c>
      <c r="M332" s="6">
        <v>798</v>
      </c>
      <c r="N332" s="6">
        <v>1596</v>
      </c>
      <c r="O332" s="7">
        <v>0.2</v>
      </c>
      <c r="P332" s="8">
        <f t="shared" si="10"/>
        <v>319.20000000000005</v>
      </c>
      <c r="Q332" s="9">
        <f t="shared" si="11"/>
        <v>1276.8</v>
      </c>
      <c r="R332" s="5">
        <v>25</v>
      </c>
      <c r="S332" s="5" t="s">
        <v>2034</v>
      </c>
      <c r="T332" s="5" t="s">
        <v>2035</v>
      </c>
    </row>
    <row r="333" spans="1:20" x14ac:dyDescent="0.25">
      <c r="A333" s="5" t="s">
        <v>346</v>
      </c>
      <c r="B333" s="10">
        <v>45683</v>
      </c>
      <c r="C333" s="5" t="s">
        <v>1015</v>
      </c>
      <c r="D333" s="11" t="s">
        <v>1351</v>
      </c>
      <c r="E333" s="5" t="s">
        <v>2387</v>
      </c>
      <c r="F333" s="5">
        <v>51</v>
      </c>
      <c r="G333" s="5" t="str" cm="1">
        <f t="array" ref="G333">_xlfn.IFS(F333&lt;12,"Child",F333&lt;18,"Teen",F333&lt;25,"Young",F333&lt;40,"Adult",F333&lt;60,"Middle Age",F333&gt;=60,"Old")</f>
        <v>Middle Age</v>
      </c>
      <c r="H333" s="5" t="s">
        <v>2044</v>
      </c>
      <c r="I333" s="5" t="s">
        <v>2053</v>
      </c>
      <c r="J333" s="5" t="s">
        <v>2024</v>
      </c>
      <c r="K333" s="5" t="str">
        <f>VLOOKUP(J333,Sheet2!$A$1:$B$11,2,FALSE)</f>
        <v>Fashion Accessories</v>
      </c>
      <c r="L333" s="5">
        <v>5</v>
      </c>
      <c r="M333" s="6">
        <v>337</v>
      </c>
      <c r="N333" s="6">
        <v>1685</v>
      </c>
      <c r="O333" s="7">
        <v>0.1</v>
      </c>
      <c r="P333" s="8">
        <f t="shared" si="10"/>
        <v>168.5</v>
      </c>
      <c r="Q333" s="9">
        <f t="shared" si="11"/>
        <v>1516.5</v>
      </c>
      <c r="R333" s="5">
        <v>30</v>
      </c>
      <c r="S333" s="5" t="s">
        <v>2032</v>
      </c>
      <c r="T333" s="5" t="s">
        <v>2037</v>
      </c>
    </row>
    <row r="334" spans="1:20" x14ac:dyDescent="0.25">
      <c r="A334" s="5" t="s">
        <v>347</v>
      </c>
      <c r="B334" s="10">
        <v>45682</v>
      </c>
      <c r="C334" s="5" t="s">
        <v>1020</v>
      </c>
      <c r="D334" s="11" t="s">
        <v>1352</v>
      </c>
      <c r="E334" s="5" t="s">
        <v>2388</v>
      </c>
      <c r="F334" s="5">
        <v>39</v>
      </c>
      <c r="G334" s="5" t="str" cm="1">
        <f t="array" ref="G334">_xlfn.IFS(F334&lt;12,"Child",F334&lt;18,"Teen",F334&lt;25,"Young",F334&lt;40,"Adult",F334&lt;60,"Middle Age",F334&gt;=60,"Old")</f>
        <v>Adult</v>
      </c>
      <c r="H334" s="5" t="s">
        <v>2043</v>
      </c>
      <c r="I334" s="5" t="s">
        <v>2052</v>
      </c>
      <c r="J334" s="5" t="s">
        <v>2022</v>
      </c>
      <c r="K334" s="5" t="str">
        <f>VLOOKUP(J334,Sheet2!$A$1:$B$11,2,FALSE)</f>
        <v>Sportswear</v>
      </c>
      <c r="L334" s="5">
        <v>5</v>
      </c>
      <c r="M334" s="6">
        <v>363</v>
      </c>
      <c r="N334" s="6">
        <v>1815</v>
      </c>
      <c r="O334" s="7">
        <v>0.2</v>
      </c>
      <c r="P334" s="8">
        <f t="shared" si="10"/>
        <v>363</v>
      </c>
      <c r="Q334" s="9">
        <f t="shared" si="11"/>
        <v>1452</v>
      </c>
      <c r="R334" s="5">
        <v>29</v>
      </c>
      <c r="S334" s="5" t="s">
        <v>2034</v>
      </c>
      <c r="T334" s="5" t="s">
        <v>2036</v>
      </c>
    </row>
    <row r="335" spans="1:20" x14ac:dyDescent="0.25">
      <c r="A335" s="5" t="s">
        <v>348</v>
      </c>
      <c r="B335" s="10">
        <v>45387</v>
      </c>
      <c r="C335" s="5" t="s">
        <v>1014</v>
      </c>
      <c r="D335" s="11" t="s">
        <v>1353</v>
      </c>
      <c r="E335" s="5" t="s">
        <v>2389</v>
      </c>
      <c r="F335" s="5">
        <v>21</v>
      </c>
      <c r="G335" s="5" t="str" cm="1">
        <f t="array" ref="G335">_xlfn.IFS(F335&lt;12,"Child",F335&lt;18,"Teen",F335&lt;25,"Young",F335&lt;40,"Adult",F335&lt;60,"Middle Age",F335&gt;=60,"Old")</f>
        <v>Young</v>
      </c>
      <c r="H335" s="5" t="s">
        <v>2043</v>
      </c>
      <c r="I335" s="5" t="s">
        <v>2052</v>
      </c>
      <c r="J335" s="5" t="s">
        <v>2016</v>
      </c>
      <c r="K335" s="5" t="str">
        <f>VLOOKUP(J335,Sheet2!$A$1:$B$11,2,FALSE)</f>
        <v>Winter Wear</v>
      </c>
      <c r="L335" s="5">
        <v>4</v>
      </c>
      <c r="M335" s="6">
        <v>395</v>
      </c>
      <c r="N335" s="6">
        <v>1580</v>
      </c>
      <c r="O335" s="7">
        <v>0</v>
      </c>
      <c r="P335" s="8">
        <f t="shared" si="10"/>
        <v>0</v>
      </c>
      <c r="Q335" s="9">
        <f t="shared" si="11"/>
        <v>1580</v>
      </c>
      <c r="R335" s="5">
        <v>31</v>
      </c>
      <c r="S335" s="5" t="s">
        <v>2033</v>
      </c>
      <c r="T335" s="5" t="s">
        <v>2035</v>
      </c>
    </row>
    <row r="336" spans="1:20" x14ac:dyDescent="0.25">
      <c r="A336" s="5" t="s">
        <v>349</v>
      </c>
      <c r="B336" s="10">
        <v>45672</v>
      </c>
      <c r="C336" s="5" t="s">
        <v>1017</v>
      </c>
      <c r="D336" s="11" t="s">
        <v>1354</v>
      </c>
      <c r="E336" s="5" t="s">
        <v>2390</v>
      </c>
      <c r="F336" s="5">
        <v>44</v>
      </c>
      <c r="G336" s="5" t="str" cm="1">
        <f t="array" ref="G336">_xlfn.IFS(F336&lt;12,"Child",F336&lt;18,"Teen",F336&lt;25,"Young",F336&lt;40,"Adult",F336&lt;60,"Middle Age",F336&gt;=60,"Old")</f>
        <v>Middle Age</v>
      </c>
      <c r="H336" s="5" t="s">
        <v>2044</v>
      </c>
      <c r="I336" s="5" t="s">
        <v>2045</v>
      </c>
      <c r="J336" s="5" t="s">
        <v>2021</v>
      </c>
      <c r="K336" s="5" t="str">
        <f>VLOOKUP(J336,Sheet2!$A$1:$B$11,2,FALSE)</f>
        <v>Casual Wear</v>
      </c>
      <c r="L336" s="5">
        <v>5</v>
      </c>
      <c r="M336" s="6">
        <v>455</v>
      </c>
      <c r="N336" s="6">
        <v>2275</v>
      </c>
      <c r="O336" s="7">
        <v>0.2</v>
      </c>
      <c r="P336" s="8">
        <f t="shared" si="10"/>
        <v>455</v>
      </c>
      <c r="Q336" s="9">
        <f t="shared" si="11"/>
        <v>1820</v>
      </c>
      <c r="R336" s="5">
        <v>36</v>
      </c>
      <c r="S336" s="5" t="s">
        <v>2033</v>
      </c>
      <c r="T336" s="5" t="s">
        <v>2036</v>
      </c>
    </row>
    <row r="337" spans="1:20" x14ac:dyDescent="0.25">
      <c r="A337" s="5" t="s">
        <v>350</v>
      </c>
      <c r="B337" s="10">
        <v>45392</v>
      </c>
      <c r="C337" s="5" t="s">
        <v>1017</v>
      </c>
      <c r="D337" s="11" t="s">
        <v>1355</v>
      </c>
      <c r="E337" s="5" t="s">
        <v>2391</v>
      </c>
      <c r="F337" s="5">
        <v>57</v>
      </c>
      <c r="G337" s="5" t="str" cm="1">
        <f t="array" ref="G337">_xlfn.IFS(F337&lt;12,"Child",F337&lt;18,"Teen",F337&lt;25,"Young",F337&lt;40,"Adult",F337&lt;60,"Middle Age",F337&gt;=60,"Old")</f>
        <v>Middle Age</v>
      </c>
      <c r="H337" s="5" t="s">
        <v>2044</v>
      </c>
      <c r="I337" s="5" t="s">
        <v>2053</v>
      </c>
      <c r="J337" s="5" t="s">
        <v>2023</v>
      </c>
      <c r="K337" s="5" t="str">
        <f>VLOOKUP(J337,Sheet2!$A$1:$B$11,2,FALSE)</f>
        <v>Formal Wear</v>
      </c>
      <c r="L337" s="5">
        <v>5</v>
      </c>
      <c r="M337" s="6">
        <v>407</v>
      </c>
      <c r="N337" s="6">
        <v>2035</v>
      </c>
      <c r="O337" s="7">
        <v>0.05</v>
      </c>
      <c r="P337" s="8">
        <f t="shared" si="10"/>
        <v>101.75</v>
      </c>
      <c r="Q337" s="9">
        <f t="shared" si="11"/>
        <v>1933.25</v>
      </c>
      <c r="R337" s="5">
        <v>38</v>
      </c>
      <c r="S337" s="5" t="s">
        <v>2032</v>
      </c>
      <c r="T337" s="5" t="s">
        <v>2035</v>
      </c>
    </row>
    <row r="338" spans="1:20" x14ac:dyDescent="0.25">
      <c r="A338" s="5" t="s">
        <v>351</v>
      </c>
      <c r="B338" s="10">
        <v>45656</v>
      </c>
      <c r="C338" s="5" t="s">
        <v>1016</v>
      </c>
      <c r="D338" s="11" t="s">
        <v>1356</v>
      </c>
      <c r="E338" s="5" t="s">
        <v>2392</v>
      </c>
      <c r="F338" s="5">
        <v>33</v>
      </c>
      <c r="G338" s="5" t="str" cm="1">
        <f t="array" ref="G338">_xlfn.IFS(F338&lt;12,"Child",F338&lt;18,"Teen",F338&lt;25,"Young",F338&lt;40,"Adult",F338&lt;60,"Middle Age",F338&gt;=60,"Old")</f>
        <v>Adult</v>
      </c>
      <c r="H338" s="5" t="s">
        <v>2043</v>
      </c>
      <c r="I338" s="5" t="s">
        <v>2046</v>
      </c>
      <c r="J338" s="5" t="s">
        <v>2023</v>
      </c>
      <c r="K338" s="5" t="str">
        <f>VLOOKUP(J338,Sheet2!$A$1:$B$11,2,FALSE)</f>
        <v>Formal Wear</v>
      </c>
      <c r="L338" s="5">
        <v>4</v>
      </c>
      <c r="M338" s="6">
        <v>801</v>
      </c>
      <c r="N338" s="6">
        <v>3204</v>
      </c>
      <c r="O338" s="7">
        <v>0.15</v>
      </c>
      <c r="P338" s="8">
        <f t="shared" si="10"/>
        <v>480.59999999999997</v>
      </c>
      <c r="Q338" s="9">
        <f t="shared" si="11"/>
        <v>2723.4</v>
      </c>
      <c r="R338" s="5">
        <v>54</v>
      </c>
      <c r="S338" s="5" t="s">
        <v>2033</v>
      </c>
      <c r="T338" s="5" t="s">
        <v>2036</v>
      </c>
    </row>
    <row r="339" spans="1:20" x14ac:dyDescent="0.25">
      <c r="A339" s="5" t="s">
        <v>352</v>
      </c>
      <c r="B339" s="10">
        <v>45553</v>
      </c>
      <c r="C339" s="5" t="s">
        <v>1017</v>
      </c>
      <c r="D339" s="11" t="s">
        <v>1357</v>
      </c>
      <c r="E339" s="5" t="s">
        <v>2393</v>
      </c>
      <c r="F339" s="5">
        <v>53</v>
      </c>
      <c r="G339" s="5" t="str" cm="1">
        <f t="array" ref="G339">_xlfn.IFS(F339&lt;12,"Child",F339&lt;18,"Teen",F339&lt;25,"Young",F339&lt;40,"Adult",F339&lt;60,"Middle Age",F339&gt;=60,"Old")</f>
        <v>Middle Age</v>
      </c>
      <c r="H339" s="5" t="s">
        <v>2043</v>
      </c>
      <c r="I339" s="5" t="s">
        <v>2052</v>
      </c>
      <c r="J339" s="5" t="s">
        <v>2016</v>
      </c>
      <c r="K339" s="5" t="str">
        <f>VLOOKUP(J339,Sheet2!$A$1:$B$11,2,FALSE)</f>
        <v>Winter Wear</v>
      </c>
      <c r="L339" s="5">
        <v>2</v>
      </c>
      <c r="M339" s="6">
        <v>977</v>
      </c>
      <c r="N339" s="6">
        <v>1954</v>
      </c>
      <c r="O339" s="7">
        <v>0</v>
      </c>
      <c r="P339" s="8">
        <f t="shared" si="10"/>
        <v>0</v>
      </c>
      <c r="Q339" s="9">
        <f t="shared" si="11"/>
        <v>1954</v>
      </c>
      <c r="R339" s="5">
        <v>39</v>
      </c>
      <c r="S339" s="5" t="s">
        <v>2034</v>
      </c>
      <c r="T339" s="5" t="s">
        <v>2037</v>
      </c>
    </row>
    <row r="340" spans="1:20" x14ac:dyDescent="0.25">
      <c r="A340" s="5" t="s">
        <v>353</v>
      </c>
      <c r="B340" s="10">
        <v>45498</v>
      </c>
      <c r="C340" s="5" t="s">
        <v>1018</v>
      </c>
      <c r="D340" s="11" t="s">
        <v>1358</v>
      </c>
      <c r="E340" s="5" t="s">
        <v>2394</v>
      </c>
      <c r="F340" s="5">
        <v>43</v>
      </c>
      <c r="G340" s="5" t="str" cm="1">
        <f t="array" ref="G340">_xlfn.IFS(F340&lt;12,"Child",F340&lt;18,"Teen",F340&lt;25,"Young",F340&lt;40,"Adult",F340&lt;60,"Middle Age",F340&gt;=60,"Old")</f>
        <v>Middle Age</v>
      </c>
      <c r="H340" s="5" t="s">
        <v>2044</v>
      </c>
      <c r="I340" s="5" t="s">
        <v>2048</v>
      </c>
      <c r="J340" s="5" t="s">
        <v>2022</v>
      </c>
      <c r="K340" s="5" t="str">
        <f>VLOOKUP(J340,Sheet2!$A$1:$B$11,2,FALSE)</f>
        <v>Sportswear</v>
      </c>
      <c r="L340" s="5">
        <v>5</v>
      </c>
      <c r="M340" s="6">
        <v>490</v>
      </c>
      <c r="N340" s="6">
        <v>2450</v>
      </c>
      <c r="O340" s="7">
        <v>0</v>
      </c>
      <c r="P340" s="8">
        <f t="shared" si="10"/>
        <v>0</v>
      </c>
      <c r="Q340" s="9">
        <f t="shared" si="11"/>
        <v>2450</v>
      </c>
      <c r="R340" s="5">
        <v>49</v>
      </c>
      <c r="S340" s="5" t="s">
        <v>2034</v>
      </c>
      <c r="T340" s="5" t="s">
        <v>2036</v>
      </c>
    </row>
    <row r="341" spans="1:20" x14ac:dyDescent="0.25">
      <c r="A341" s="5" t="s">
        <v>354</v>
      </c>
      <c r="B341" s="10">
        <v>45613</v>
      </c>
      <c r="C341" s="5" t="s">
        <v>1015</v>
      </c>
      <c r="D341" s="11" t="s">
        <v>1359</v>
      </c>
      <c r="E341" s="5" t="s">
        <v>2395</v>
      </c>
      <c r="F341" s="5">
        <v>53</v>
      </c>
      <c r="G341" s="5" t="str" cm="1">
        <f t="array" ref="G341">_xlfn.IFS(F341&lt;12,"Child",F341&lt;18,"Teen",F341&lt;25,"Young",F341&lt;40,"Adult",F341&lt;60,"Middle Age",F341&gt;=60,"Old")</f>
        <v>Middle Age</v>
      </c>
      <c r="H341" s="5" t="s">
        <v>2043</v>
      </c>
      <c r="I341" s="5" t="s">
        <v>2053</v>
      </c>
      <c r="J341" s="5" t="s">
        <v>2017</v>
      </c>
      <c r="K341" s="5" t="str">
        <f>VLOOKUP(J341,Sheet2!$A$1:$B$11,2,FALSE)</f>
        <v>Casual Wear</v>
      </c>
      <c r="L341" s="5">
        <v>5</v>
      </c>
      <c r="M341" s="6">
        <v>573</v>
      </c>
      <c r="N341" s="6">
        <v>2865</v>
      </c>
      <c r="O341" s="7">
        <v>0.05</v>
      </c>
      <c r="P341" s="8">
        <f t="shared" si="10"/>
        <v>143.25</v>
      </c>
      <c r="Q341" s="9">
        <f t="shared" si="11"/>
        <v>2721.75</v>
      </c>
      <c r="R341" s="5">
        <v>54</v>
      </c>
      <c r="S341" s="5" t="s">
        <v>2033</v>
      </c>
      <c r="T341" s="5" t="s">
        <v>2036</v>
      </c>
    </row>
    <row r="342" spans="1:20" x14ac:dyDescent="0.25">
      <c r="A342" s="5" t="s">
        <v>355</v>
      </c>
      <c r="B342" s="10">
        <v>45625</v>
      </c>
      <c r="C342" s="5" t="s">
        <v>1014</v>
      </c>
      <c r="D342" s="11" t="s">
        <v>1360</v>
      </c>
      <c r="E342" s="5" t="s">
        <v>2396</v>
      </c>
      <c r="F342" s="5">
        <v>43</v>
      </c>
      <c r="G342" s="5" t="str" cm="1">
        <f t="array" ref="G342">_xlfn.IFS(F342&lt;12,"Child",F342&lt;18,"Teen",F342&lt;25,"Young",F342&lt;40,"Adult",F342&lt;60,"Middle Age",F342&gt;=60,"Old")</f>
        <v>Middle Age</v>
      </c>
      <c r="H342" s="5" t="s">
        <v>2043</v>
      </c>
      <c r="I342" s="5" t="s">
        <v>2050</v>
      </c>
      <c r="J342" s="5" t="s">
        <v>2021</v>
      </c>
      <c r="K342" s="5" t="str">
        <f>VLOOKUP(J342,Sheet2!$A$1:$B$11,2,FALSE)</f>
        <v>Casual Wear</v>
      </c>
      <c r="L342" s="5">
        <v>3</v>
      </c>
      <c r="M342" s="6">
        <v>824</v>
      </c>
      <c r="N342" s="6">
        <v>2472</v>
      </c>
      <c r="O342" s="7">
        <v>0.1</v>
      </c>
      <c r="P342" s="8">
        <f t="shared" si="10"/>
        <v>247.20000000000002</v>
      </c>
      <c r="Q342" s="9">
        <f t="shared" si="11"/>
        <v>2224.8000000000002</v>
      </c>
      <c r="R342" s="5">
        <v>44</v>
      </c>
      <c r="S342" s="5" t="s">
        <v>2033</v>
      </c>
      <c r="T342" s="5" t="s">
        <v>2035</v>
      </c>
    </row>
    <row r="343" spans="1:20" x14ac:dyDescent="0.25">
      <c r="A343" s="5" t="s">
        <v>356</v>
      </c>
      <c r="B343" s="10">
        <v>45548</v>
      </c>
      <c r="C343" s="5" t="s">
        <v>1014</v>
      </c>
      <c r="D343" s="11" t="s">
        <v>1361</v>
      </c>
      <c r="E343" s="5" t="s">
        <v>2397</v>
      </c>
      <c r="F343" s="5">
        <v>44</v>
      </c>
      <c r="G343" s="5" t="str" cm="1">
        <f t="array" ref="G343">_xlfn.IFS(F343&lt;12,"Child",F343&lt;18,"Teen",F343&lt;25,"Young",F343&lt;40,"Adult",F343&lt;60,"Middle Age",F343&gt;=60,"Old")</f>
        <v>Middle Age</v>
      </c>
      <c r="H343" s="5" t="s">
        <v>2044</v>
      </c>
      <c r="I343" s="5" t="s">
        <v>2052</v>
      </c>
      <c r="J343" s="5" t="s">
        <v>2017</v>
      </c>
      <c r="K343" s="5" t="str">
        <f>VLOOKUP(J343,Sheet2!$A$1:$B$11,2,FALSE)</f>
        <v>Casual Wear</v>
      </c>
      <c r="L343" s="5">
        <v>3</v>
      </c>
      <c r="M343" s="6">
        <v>850</v>
      </c>
      <c r="N343" s="6">
        <v>2550</v>
      </c>
      <c r="O343" s="7">
        <v>0.1</v>
      </c>
      <c r="P343" s="8">
        <f t="shared" si="10"/>
        <v>255</v>
      </c>
      <c r="Q343" s="9">
        <f t="shared" si="11"/>
        <v>2295</v>
      </c>
      <c r="R343" s="5">
        <v>45</v>
      </c>
      <c r="S343" s="5" t="s">
        <v>2032</v>
      </c>
      <c r="T343" s="5" t="s">
        <v>2037</v>
      </c>
    </row>
    <row r="344" spans="1:20" x14ac:dyDescent="0.25">
      <c r="A344" s="5" t="s">
        <v>357</v>
      </c>
      <c r="B344" s="10">
        <v>45387</v>
      </c>
      <c r="C344" s="5" t="s">
        <v>1014</v>
      </c>
      <c r="D344" s="11" t="s">
        <v>1362</v>
      </c>
      <c r="E344" s="5" t="s">
        <v>2398</v>
      </c>
      <c r="F344" s="5">
        <v>34</v>
      </c>
      <c r="G344" s="5" t="str" cm="1">
        <f t="array" ref="G344">_xlfn.IFS(F344&lt;12,"Child",F344&lt;18,"Teen",F344&lt;25,"Young",F344&lt;40,"Adult",F344&lt;60,"Middle Age",F344&gt;=60,"Old")</f>
        <v>Adult</v>
      </c>
      <c r="H344" s="5" t="s">
        <v>2044</v>
      </c>
      <c r="I344" s="5" t="s">
        <v>2047</v>
      </c>
      <c r="J344" s="5" t="s">
        <v>2020</v>
      </c>
      <c r="K344" s="5" t="str">
        <f>VLOOKUP(J344,Sheet2!$A$1:$B$11,2,FALSE)</f>
        <v>Summer Wear</v>
      </c>
      <c r="L344" s="5">
        <v>3</v>
      </c>
      <c r="M344" s="6">
        <v>680</v>
      </c>
      <c r="N344" s="6">
        <v>2040</v>
      </c>
      <c r="O344" s="7">
        <v>0.05</v>
      </c>
      <c r="P344" s="8">
        <f t="shared" si="10"/>
        <v>102</v>
      </c>
      <c r="Q344" s="9">
        <f t="shared" si="11"/>
        <v>1938</v>
      </c>
      <c r="R344" s="5">
        <v>38</v>
      </c>
      <c r="S344" s="5" t="s">
        <v>2033</v>
      </c>
      <c r="T344" s="5" t="s">
        <v>2035</v>
      </c>
    </row>
    <row r="345" spans="1:20" x14ac:dyDescent="0.25">
      <c r="A345" s="5" t="s">
        <v>358</v>
      </c>
      <c r="B345" s="10">
        <v>45606</v>
      </c>
      <c r="C345" s="5" t="s">
        <v>1015</v>
      </c>
      <c r="D345" s="11" t="s">
        <v>1363</v>
      </c>
      <c r="E345" s="5" t="s">
        <v>2399</v>
      </c>
      <c r="F345" s="5">
        <v>51</v>
      </c>
      <c r="G345" s="5" t="str" cm="1">
        <f t="array" ref="G345">_xlfn.IFS(F345&lt;12,"Child",F345&lt;18,"Teen",F345&lt;25,"Young",F345&lt;40,"Adult",F345&lt;60,"Middle Age",F345&gt;=60,"Old")</f>
        <v>Middle Age</v>
      </c>
      <c r="H345" s="5" t="s">
        <v>2044</v>
      </c>
      <c r="I345" s="5" t="s">
        <v>2048</v>
      </c>
      <c r="J345" s="5" t="s">
        <v>2017</v>
      </c>
      <c r="K345" s="5" t="str">
        <f>VLOOKUP(J345,Sheet2!$A$1:$B$11,2,FALSE)</f>
        <v>Casual Wear</v>
      </c>
      <c r="L345" s="5">
        <v>3</v>
      </c>
      <c r="M345" s="6">
        <v>375</v>
      </c>
      <c r="N345" s="6">
        <v>1125</v>
      </c>
      <c r="O345" s="7">
        <v>0</v>
      </c>
      <c r="P345" s="8">
        <f t="shared" si="10"/>
        <v>0</v>
      </c>
      <c r="Q345" s="9">
        <f t="shared" si="11"/>
        <v>1125</v>
      </c>
      <c r="R345" s="5">
        <v>22</v>
      </c>
      <c r="S345" s="5" t="s">
        <v>2034</v>
      </c>
      <c r="T345" s="5" t="s">
        <v>2035</v>
      </c>
    </row>
    <row r="346" spans="1:20" x14ac:dyDescent="0.25">
      <c r="A346" s="5" t="s">
        <v>359</v>
      </c>
      <c r="B346" s="10">
        <v>45649</v>
      </c>
      <c r="C346" s="5" t="s">
        <v>1016</v>
      </c>
      <c r="D346" s="11" t="s">
        <v>1364</v>
      </c>
      <c r="E346" s="5" t="s">
        <v>2400</v>
      </c>
      <c r="F346" s="5">
        <v>59</v>
      </c>
      <c r="G346" s="5" t="str" cm="1">
        <f t="array" ref="G346">_xlfn.IFS(F346&lt;12,"Child",F346&lt;18,"Teen",F346&lt;25,"Young",F346&lt;40,"Adult",F346&lt;60,"Middle Age",F346&gt;=60,"Old")</f>
        <v>Middle Age</v>
      </c>
      <c r="H346" s="5" t="s">
        <v>2044</v>
      </c>
      <c r="I346" s="5" t="s">
        <v>2052</v>
      </c>
      <c r="J346" s="5" t="s">
        <v>2023</v>
      </c>
      <c r="K346" s="5" t="str">
        <f>VLOOKUP(J346,Sheet2!$A$1:$B$11,2,FALSE)</f>
        <v>Formal Wear</v>
      </c>
      <c r="L346" s="5">
        <v>2</v>
      </c>
      <c r="M346" s="6">
        <v>738</v>
      </c>
      <c r="N346" s="6">
        <v>1476</v>
      </c>
      <c r="O346" s="7">
        <v>0.15</v>
      </c>
      <c r="P346" s="8">
        <f t="shared" si="10"/>
        <v>221.4</v>
      </c>
      <c r="Q346" s="9">
        <f t="shared" si="11"/>
        <v>1254.5999999999999</v>
      </c>
      <c r="R346" s="5">
        <v>25</v>
      </c>
      <c r="S346" s="5" t="s">
        <v>2032</v>
      </c>
      <c r="T346" s="5" t="s">
        <v>2037</v>
      </c>
    </row>
    <row r="347" spans="1:20" x14ac:dyDescent="0.25">
      <c r="A347" s="5" t="s">
        <v>360</v>
      </c>
      <c r="B347" s="10">
        <v>45614</v>
      </c>
      <c r="C347" s="5" t="s">
        <v>1016</v>
      </c>
      <c r="D347" s="11" t="s">
        <v>1365</v>
      </c>
      <c r="E347" s="5" t="s">
        <v>2401</v>
      </c>
      <c r="F347" s="5">
        <v>41</v>
      </c>
      <c r="G347" s="5" t="str" cm="1">
        <f t="array" ref="G347">_xlfn.IFS(F347&lt;12,"Child",F347&lt;18,"Teen",F347&lt;25,"Young",F347&lt;40,"Adult",F347&lt;60,"Middle Age",F347&gt;=60,"Old")</f>
        <v>Middle Age</v>
      </c>
      <c r="H347" s="5" t="s">
        <v>2044</v>
      </c>
      <c r="I347" s="5" t="s">
        <v>2051</v>
      </c>
      <c r="J347" s="5" t="s">
        <v>2017</v>
      </c>
      <c r="K347" s="5" t="str">
        <f>VLOOKUP(J347,Sheet2!$A$1:$B$11,2,FALSE)</f>
        <v>Casual Wear</v>
      </c>
      <c r="L347" s="5">
        <v>5</v>
      </c>
      <c r="M347" s="6">
        <v>540</v>
      </c>
      <c r="N347" s="6">
        <v>2700</v>
      </c>
      <c r="O347" s="7">
        <v>0.05</v>
      </c>
      <c r="P347" s="8">
        <f t="shared" si="10"/>
        <v>135</v>
      </c>
      <c r="Q347" s="9">
        <f t="shared" si="11"/>
        <v>2565</v>
      </c>
      <c r="R347" s="5">
        <v>51</v>
      </c>
      <c r="S347" s="5" t="s">
        <v>2033</v>
      </c>
      <c r="T347" s="5" t="s">
        <v>2036</v>
      </c>
    </row>
    <row r="348" spans="1:20" x14ac:dyDescent="0.25">
      <c r="A348" s="5" t="s">
        <v>361</v>
      </c>
      <c r="B348" s="10">
        <v>45487</v>
      </c>
      <c r="C348" s="5" t="s">
        <v>1015</v>
      </c>
      <c r="D348" s="11" t="s">
        <v>1366</v>
      </c>
      <c r="E348" s="5" t="s">
        <v>2402</v>
      </c>
      <c r="F348" s="5">
        <v>60</v>
      </c>
      <c r="G348" s="5" t="str" cm="1">
        <f t="array" ref="G348">_xlfn.IFS(F348&lt;12,"Child",F348&lt;18,"Teen",F348&lt;25,"Young",F348&lt;40,"Adult",F348&lt;60,"Middle Age",F348&gt;=60,"Old")</f>
        <v>Old</v>
      </c>
      <c r="H348" s="5" t="s">
        <v>2043</v>
      </c>
      <c r="I348" s="5" t="s">
        <v>2050</v>
      </c>
      <c r="J348" s="5" t="s">
        <v>2021</v>
      </c>
      <c r="K348" s="5" t="str">
        <f>VLOOKUP(J348,Sheet2!$A$1:$B$11,2,FALSE)</f>
        <v>Casual Wear</v>
      </c>
      <c r="L348" s="5">
        <v>4</v>
      </c>
      <c r="M348" s="6">
        <v>774</v>
      </c>
      <c r="N348" s="6">
        <v>3096</v>
      </c>
      <c r="O348" s="7">
        <v>0.2</v>
      </c>
      <c r="P348" s="8">
        <f t="shared" si="10"/>
        <v>619.20000000000005</v>
      </c>
      <c r="Q348" s="9">
        <f t="shared" si="11"/>
        <v>2476.8000000000002</v>
      </c>
      <c r="R348" s="5">
        <v>49</v>
      </c>
      <c r="S348" s="5" t="s">
        <v>2032</v>
      </c>
      <c r="T348" s="5" t="s">
        <v>2036</v>
      </c>
    </row>
    <row r="349" spans="1:20" x14ac:dyDescent="0.25">
      <c r="A349" s="5" t="s">
        <v>362</v>
      </c>
      <c r="B349" s="10">
        <v>45378</v>
      </c>
      <c r="C349" s="5" t="s">
        <v>1017</v>
      </c>
      <c r="D349" s="11" t="s">
        <v>1367</v>
      </c>
      <c r="E349" s="5" t="s">
        <v>2403</v>
      </c>
      <c r="F349" s="5">
        <v>44</v>
      </c>
      <c r="G349" s="5" t="str" cm="1">
        <f t="array" ref="G349">_xlfn.IFS(F349&lt;12,"Child",F349&lt;18,"Teen",F349&lt;25,"Young",F349&lt;40,"Adult",F349&lt;60,"Middle Age",F349&gt;=60,"Old")</f>
        <v>Middle Age</v>
      </c>
      <c r="H349" s="5" t="s">
        <v>2044</v>
      </c>
      <c r="I349" s="5" t="s">
        <v>2046</v>
      </c>
      <c r="J349" s="5" t="s">
        <v>2021</v>
      </c>
      <c r="K349" s="5" t="str">
        <f>VLOOKUP(J349,Sheet2!$A$1:$B$11,2,FALSE)</f>
        <v>Casual Wear</v>
      </c>
      <c r="L349" s="5">
        <v>4</v>
      </c>
      <c r="M349" s="6">
        <v>622</v>
      </c>
      <c r="N349" s="6">
        <v>2488</v>
      </c>
      <c r="O349" s="7">
        <v>0.2</v>
      </c>
      <c r="P349" s="8">
        <f t="shared" si="10"/>
        <v>497.6</v>
      </c>
      <c r="Q349" s="9">
        <f t="shared" si="11"/>
        <v>1990.4</v>
      </c>
      <c r="R349" s="5">
        <v>39</v>
      </c>
      <c r="S349" s="5" t="s">
        <v>2033</v>
      </c>
      <c r="T349" s="5" t="s">
        <v>2036</v>
      </c>
    </row>
    <row r="350" spans="1:20" x14ac:dyDescent="0.25">
      <c r="A350" s="5" t="s">
        <v>363</v>
      </c>
      <c r="B350" s="10">
        <v>45508</v>
      </c>
      <c r="C350" s="5" t="s">
        <v>1015</v>
      </c>
      <c r="D350" s="11" t="s">
        <v>1368</v>
      </c>
      <c r="E350" s="5" t="s">
        <v>2404</v>
      </c>
      <c r="F350" s="5">
        <v>25</v>
      </c>
      <c r="G350" s="5" t="str" cm="1">
        <f t="array" ref="G350">_xlfn.IFS(F350&lt;12,"Child",F350&lt;18,"Teen",F350&lt;25,"Young",F350&lt;40,"Adult",F350&lt;60,"Middle Age",F350&gt;=60,"Old")</f>
        <v>Adult</v>
      </c>
      <c r="H350" s="5" t="s">
        <v>2043</v>
      </c>
      <c r="I350" s="5" t="s">
        <v>2045</v>
      </c>
      <c r="J350" s="5" t="s">
        <v>2021</v>
      </c>
      <c r="K350" s="5" t="str">
        <f>VLOOKUP(J350,Sheet2!$A$1:$B$11,2,FALSE)</f>
        <v>Casual Wear</v>
      </c>
      <c r="L350" s="5">
        <v>3</v>
      </c>
      <c r="M350" s="6">
        <v>1057</v>
      </c>
      <c r="N350" s="6">
        <v>3171</v>
      </c>
      <c r="O350" s="7">
        <v>0.2</v>
      </c>
      <c r="P350" s="8">
        <f t="shared" si="10"/>
        <v>634.20000000000005</v>
      </c>
      <c r="Q350" s="9">
        <f t="shared" si="11"/>
        <v>2536.8000000000002</v>
      </c>
      <c r="R350" s="5">
        <v>50</v>
      </c>
      <c r="S350" s="5" t="s">
        <v>2034</v>
      </c>
      <c r="T350" s="5" t="s">
        <v>2035</v>
      </c>
    </row>
    <row r="351" spans="1:20" x14ac:dyDescent="0.25">
      <c r="A351" s="5" t="s">
        <v>364</v>
      </c>
      <c r="B351" s="10">
        <v>45476</v>
      </c>
      <c r="C351" s="5" t="s">
        <v>1017</v>
      </c>
      <c r="D351" s="11" t="s">
        <v>1369</v>
      </c>
      <c r="E351" s="5" t="s">
        <v>2405</v>
      </c>
      <c r="F351" s="5">
        <v>18</v>
      </c>
      <c r="G351" s="5" t="str" cm="1">
        <f t="array" ref="G351">_xlfn.IFS(F351&lt;12,"Child",F351&lt;18,"Teen",F351&lt;25,"Young",F351&lt;40,"Adult",F351&lt;60,"Middle Age",F351&gt;=60,"Old")</f>
        <v>Young</v>
      </c>
      <c r="H351" s="5" t="s">
        <v>2043</v>
      </c>
      <c r="I351" s="5" t="s">
        <v>2047</v>
      </c>
      <c r="J351" s="5" t="s">
        <v>2018</v>
      </c>
      <c r="K351" s="5" t="str">
        <f>VLOOKUP(J351,Sheet2!$A$1:$B$11,2,FALSE)</f>
        <v>Sportswear</v>
      </c>
      <c r="L351" s="5">
        <v>4</v>
      </c>
      <c r="M351" s="6">
        <v>911</v>
      </c>
      <c r="N351" s="6">
        <v>3644</v>
      </c>
      <c r="O351" s="7">
        <v>0.1</v>
      </c>
      <c r="P351" s="8">
        <f t="shared" si="10"/>
        <v>364.40000000000003</v>
      </c>
      <c r="Q351" s="9">
        <f t="shared" si="11"/>
        <v>3279.6</v>
      </c>
      <c r="R351" s="5">
        <v>65</v>
      </c>
      <c r="S351" s="5" t="s">
        <v>2032</v>
      </c>
      <c r="T351" s="5" t="s">
        <v>2035</v>
      </c>
    </row>
    <row r="352" spans="1:20" x14ac:dyDescent="0.25">
      <c r="A352" s="5" t="s">
        <v>365</v>
      </c>
      <c r="B352" s="10">
        <v>45361</v>
      </c>
      <c r="C352" s="5" t="s">
        <v>1015</v>
      </c>
      <c r="D352" s="11" t="s">
        <v>1370</v>
      </c>
      <c r="E352" s="5" t="s">
        <v>2406</v>
      </c>
      <c r="F352" s="5">
        <v>25</v>
      </c>
      <c r="G352" s="5" t="str" cm="1">
        <f t="array" ref="G352">_xlfn.IFS(F352&lt;12,"Child",F352&lt;18,"Teen",F352&lt;25,"Young",F352&lt;40,"Adult",F352&lt;60,"Middle Age",F352&gt;=60,"Old")</f>
        <v>Adult</v>
      </c>
      <c r="H352" s="5" t="s">
        <v>2044</v>
      </c>
      <c r="I352" s="5" t="s">
        <v>2047</v>
      </c>
      <c r="J352" s="5" t="s">
        <v>2017</v>
      </c>
      <c r="K352" s="5" t="str">
        <f>VLOOKUP(J352,Sheet2!$A$1:$B$11,2,FALSE)</f>
        <v>Casual Wear</v>
      </c>
      <c r="L352" s="5">
        <v>2</v>
      </c>
      <c r="M352" s="6">
        <v>258</v>
      </c>
      <c r="N352" s="6">
        <v>516</v>
      </c>
      <c r="O352" s="7">
        <v>0.15</v>
      </c>
      <c r="P352" s="8">
        <f t="shared" si="10"/>
        <v>77.399999999999991</v>
      </c>
      <c r="Q352" s="9">
        <f t="shared" si="11"/>
        <v>438.6</v>
      </c>
      <c r="R352" s="5">
        <v>8</v>
      </c>
      <c r="S352" s="5" t="s">
        <v>2034</v>
      </c>
      <c r="T352" s="5" t="s">
        <v>2035</v>
      </c>
    </row>
    <row r="353" spans="1:20" x14ac:dyDescent="0.25">
      <c r="A353" s="5" t="s">
        <v>366</v>
      </c>
      <c r="B353" s="10">
        <v>45690</v>
      </c>
      <c r="C353" s="5" t="s">
        <v>1015</v>
      </c>
      <c r="D353" s="11" t="s">
        <v>1371</v>
      </c>
      <c r="E353" s="5" t="s">
        <v>2407</v>
      </c>
      <c r="F353" s="5">
        <v>23</v>
      </c>
      <c r="G353" s="5" t="str" cm="1">
        <f t="array" ref="G353">_xlfn.IFS(F353&lt;12,"Child",F353&lt;18,"Teen",F353&lt;25,"Young",F353&lt;40,"Adult",F353&lt;60,"Middle Age",F353&gt;=60,"Old")</f>
        <v>Young</v>
      </c>
      <c r="H353" s="5" t="s">
        <v>2043</v>
      </c>
      <c r="I353" s="5" t="s">
        <v>2049</v>
      </c>
      <c r="J353" s="5" t="s">
        <v>2018</v>
      </c>
      <c r="K353" s="5" t="str">
        <f>VLOOKUP(J353,Sheet2!$A$1:$B$11,2,FALSE)</f>
        <v>Sportswear</v>
      </c>
      <c r="L353" s="5">
        <v>2</v>
      </c>
      <c r="M353" s="6">
        <v>865</v>
      </c>
      <c r="N353" s="6">
        <v>1730</v>
      </c>
      <c r="O353" s="7">
        <v>0.15</v>
      </c>
      <c r="P353" s="8">
        <f t="shared" si="10"/>
        <v>259.5</v>
      </c>
      <c r="Q353" s="9">
        <f t="shared" si="11"/>
        <v>1470.5</v>
      </c>
      <c r="R353" s="5">
        <v>29</v>
      </c>
      <c r="S353" s="5" t="s">
        <v>2032</v>
      </c>
      <c r="T353" s="5" t="s">
        <v>2036</v>
      </c>
    </row>
    <row r="354" spans="1:20" x14ac:dyDescent="0.25">
      <c r="A354" s="5" t="s">
        <v>367</v>
      </c>
      <c r="B354" s="10">
        <v>45521</v>
      </c>
      <c r="C354" s="5" t="s">
        <v>1020</v>
      </c>
      <c r="D354" s="11" t="s">
        <v>1372</v>
      </c>
      <c r="E354" s="5" t="s">
        <v>2408</v>
      </c>
      <c r="F354" s="5">
        <v>46</v>
      </c>
      <c r="G354" s="5" t="str" cm="1">
        <f t="array" ref="G354">_xlfn.IFS(F354&lt;12,"Child",F354&lt;18,"Teen",F354&lt;25,"Young",F354&lt;40,"Adult",F354&lt;60,"Middle Age",F354&gt;=60,"Old")</f>
        <v>Middle Age</v>
      </c>
      <c r="H354" s="5" t="s">
        <v>2044</v>
      </c>
      <c r="I354" s="5" t="s">
        <v>2048</v>
      </c>
      <c r="J354" s="5" t="s">
        <v>2016</v>
      </c>
      <c r="K354" s="5" t="str">
        <f>VLOOKUP(J354,Sheet2!$A$1:$B$11,2,FALSE)</f>
        <v>Winter Wear</v>
      </c>
      <c r="L354" s="5">
        <v>2</v>
      </c>
      <c r="M354" s="6">
        <v>659</v>
      </c>
      <c r="N354" s="6">
        <v>1318</v>
      </c>
      <c r="O354" s="7">
        <v>0.2</v>
      </c>
      <c r="P354" s="8">
        <f t="shared" si="10"/>
        <v>263.60000000000002</v>
      </c>
      <c r="Q354" s="9">
        <f t="shared" si="11"/>
        <v>1054.4000000000001</v>
      </c>
      <c r="R354" s="5">
        <v>21</v>
      </c>
      <c r="S354" s="5" t="s">
        <v>2033</v>
      </c>
      <c r="T354" s="5" t="s">
        <v>2036</v>
      </c>
    </row>
    <row r="355" spans="1:20" x14ac:dyDescent="0.25">
      <c r="A355" s="5" t="s">
        <v>368</v>
      </c>
      <c r="B355" s="10">
        <v>45544</v>
      </c>
      <c r="C355" s="5" t="s">
        <v>1016</v>
      </c>
      <c r="D355" s="11" t="s">
        <v>1373</v>
      </c>
      <c r="E355" s="5" t="s">
        <v>2409</v>
      </c>
      <c r="F355" s="5">
        <v>58</v>
      </c>
      <c r="G355" s="5" t="str" cm="1">
        <f t="array" ref="G355">_xlfn.IFS(F355&lt;12,"Child",F355&lt;18,"Teen",F355&lt;25,"Young",F355&lt;40,"Adult",F355&lt;60,"Middle Age",F355&gt;=60,"Old")</f>
        <v>Middle Age</v>
      </c>
      <c r="H355" s="5" t="s">
        <v>2043</v>
      </c>
      <c r="I355" s="5" t="s">
        <v>2050</v>
      </c>
      <c r="J355" s="5" t="s">
        <v>2025</v>
      </c>
      <c r="K355" s="5" t="str">
        <f>VLOOKUP(J355,Sheet2!$A$1:$B$11,2,FALSE)</f>
        <v>Formal Wear</v>
      </c>
      <c r="L355" s="5">
        <v>3</v>
      </c>
      <c r="M355" s="6">
        <v>1041</v>
      </c>
      <c r="N355" s="6">
        <v>3123</v>
      </c>
      <c r="O355" s="7">
        <v>0</v>
      </c>
      <c r="P355" s="8">
        <f t="shared" si="10"/>
        <v>0</v>
      </c>
      <c r="Q355" s="9">
        <f t="shared" si="11"/>
        <v>3123</v>
      </c>
      <c r="R355" s="5">
        <v>62</v>
      </c>
      <c r="S355" s="5" t="s">
        <v>2033</v>
      </c>
      <c r="T355" s="5" t="s">
        <v>2036</v>
      </c>
    </row>
    <row r="356" spans="1:20" x14ac:dyDescent="0.25">
      <c r="A356" s="5" t="s">
        <v>369</v>
      </c>
      <c r="B356" s="10">
        <v>45559</v>
      </c>
      <c r="C356" s="5" t="s">
        <v>1019</v>
      </c>
      <c r="D356" s="11" t="s">
        <v>1374</v>
      </c>
      <c r="E356" s="5" t="s">
        <v>2410</v>
      </c>
      <c r="F356" s="5">
        <v>60</v>
      </c>
      <c r="G356" s="5" t="str" cm="1">
        <f t="array" ref="G356">_xlfn.IFS(F356&lt;12,"Child",F356&lt;18,"Teen",F356&lt;25,"Young",F356&lt;40,"Adult",F356&lt;60,"Middle Age",F356&gt;=60,"Old")</f>
        <v>Old</v>
      </c>
      <c r="H356" s="5" t="s">
        <v>2043</v>
      </c>
      <c r="I356" s="5" t="s">
        <v>2050</v>
      </c>
      <c r="J356" s="5" t="s">
        <v>2018</v>
      </c>
      <c r="K356" s="5" t="str">
        <f>VLOOKUP(J356,Sheet2!$A$1:$B$11,2,FALSE)</f>
        <v>Sportswear</v>
      </c>
      <c r="L356" s="5">
        <v>2</v>
      </c>
      <c r="M356" s="6">
        <v>683</v>
      </c>
      <c r="N356" s="6">
        <v>1366</v>
      </c>
      <c r="O356" s="7">
        <v>0.15</v>
      </c>
      <c r="P356" s="8">
        <f t="shared" si="10"/>
        <v>204.9</v>
      </c>
      <c r="Q356" s="9">
        <f t="shared" si="11"/>
        <v>1161.0999999999999</v>
      </c>
      <c r="R356" s="5">
        <v>23</v>
      </c>
      <c r="S356" s="5" t="s">
        <v>2032</v>
      </c>
      <c r="T356" s="5" t="s">
        <v>2035</v>
      </c>
    </row>
    <row r="357" spans="1:20" x14ac:dyDescent="0.25">
      <c r="A357" s="5" t="s">
        <v>370</v>
      </c>
      <c r="B357" s="10">
        <v>45602</v>
      </c>
      <c r="C357" s="5" t="s">
        <v>1017</v>
      </c>
      <c r="D357" s="11" t="s">
        <v>1375</v>
      </c>
      <c r="E357" s="5" t="s">
        <v>2411</v>
      </c>
      <c r="F357" s="5">
        <v>38</v>
      </c>
      <c r="G357" s="5" t="str" cm="1">
        <f t="array" ref="G357">_xlfn.IFS(F357&lt;12,"Child",F357&lt;18,"Teen",F357&lt;25,"Young",F357&lt;40,"Adult",F357&lt;60,"Middle Age",F357&gt;=60,"Old")</f>
        <v>Adult</v>
      </c>
      <c r="H357" s="5" t="s">
        <v>2044</v>
      </c>
      <c r="I357" s="5" t="s">
        <v>2049</v>
      </c>
      <c r="J357" s="5" t="s">
        <v>2018</v>
      </c>
      <c r="K357" s="5" t="str">
        <f>VLOOKUP(J357,Sheet2!$A$1:$B$11,2,FALSE)</f>
        <v>Sportswear</v>
      </c>
      <c r="L357" s="5">
        <v>5</v>
      </c>
      <c r="M357" s="6">
        <v>918</v>
      </c>
      <c r="N357" s="6">
        <v>4590</v>
      </c>
      <c r="O357" s="7">
        <v>0.2</v>
      </c>
      <c r="P357" s="8">
        <f t="shared" si="10"/>
        <v>918</v>
      </c>
      <c r="Q357" s="9">
        <f t="shared" si="11"/>
        <v>3672</v>
      </c>
      <c r="R357" s="5">
        <v>73</v>
      </c>
      <c r="S357" s="5" t="s">
        <v>2033</v>
      </c>
      <c r="T357" s="5" t="s">
        <v>2037</v>
      </c>
    </row>
    <row r="358" spans="1:20" x14ac:dyDescent="0.25">
      <c r="A358" s="5" t="s">
        <v>371</v>
      </c>
      <c r="B358" s="10">
        <v>45358</v>
      </c>
      <c r="C358" s="5" t="s">
        <v>1018</v>
      </c>
      <c r="D358" s="11" t="s">
        <v>1376</v>
      </c>
      <c r="E358" s="5" t="s">
        <v>2412</v>
      </c>
      <c r="F358" s="5">
        <v>37</v>
      </c>
      <c r="G358" s="5" t="str" cm="1">
        <f t="array" ref="G358">_xlfn.IFS(F358&lt;12,"Child",F358&lt;18,"Teen",F358&lt;25,"Young",F358&lt;40,"Adult",F358&lt;60,"Middle Age",F358&gt;=60,"Old")</f>
        <v>Adult</v>
      </c>
      <c r="H358" s="5" t="s">
        <v>2044</v>
      </c>
      <c r="I358" s="5" t="s">
        <v>2050</v>
      </c>
      <c r="J358" s="5" t="s">
        <v>2018</v>
      </c>
      <c r="K358" s="5" t="str">
        <f>VLOOKUP(J358,Sheet2!$A$1:$B$11,2,FALSE)</f>
        <v>Sportswear</v>
      </c>
      <c r="L358" s="5">
        <v>3</v>
      </c>
      <c r="M358" s="6">
        <v>1180</v>
      </c>
      <c r="N358" s="6">
        <v>3540</v>
      </c>
      <c r="O358" s="7">
        <v>0.15</v>
      </c>
      <c r="P358" s="8">
        <f t="shared" si="10"/>
        <v>531</v>
      </c>
      <c r="Q358" s="9">
        <f t="shared" si="11"/>
        <v>3009</v>
      </c>
      <c r="R358" s="5">
        <v>60</v>
      </c>
      <c r="S358" s="5" t="s">
        <v>2033</v>
      </c>
      <c r="T358" s="5" t="s">
        <v>2036</v>
      </c>
    </row>
    <row r="359" spans="1:20" x14ac:dyDescent="0.25">
      <c r="A359" s="5" t="s">
        <v>372</v>
      </c>
      <c r="B359" s="10">
        <v>45401</v>
      </c>
      <c r="C359" s="5" t="s">
        <v>1014</v>
      </c>
      <c r="D359" s="11" t="s">
        <v>1377</v>
      </c>
      <c r="E359" s="5" t="s">
        <v>2413</v>
      </c>
      <c r="F359" s="5">
        <v>30</v>
      </c>
      <c r="G359" s="5" t="str" cm="1">
        <f t="array" ref="G359">_xlfn.IFS(F359&lt;12,"Child",F359&lt;18,"Teen",F359&lt;25,"Young",F359&lt;40,"Adult",F359&lt;60,"Middle Age",F359&gt;=60,"Old")</f>
        <v>Adult</v>
      </c>
      <c r="H359" s="5" t="s">
        <v>2044</v>
      </c>
      <c r="I359" s="5" t="s">
        <v>2047</v>
      </c>
      <c r="J359" s="5" t="s">
        <v>2021</v>
      </c>
      <c r="K359" s="5" t="str">
        <f>VLOOKUP(J359,Sheet2!$A$1:$B$11,2,FALSE)</f>
        <v>Casual Wear</v>
      </c>
      <c r="L359" s="5">
        <v>2</v>
      </c>
      <c r="M359" s="6">
        <v>179</v>
      </c>
      <c r="N359" s="6">
        <v>358</v>
      </c>
      <c r="O359" s="7">
        <v>0.2</v>
      </c>
      <c r="P359" s="8">
        <f t="shared" si="10"/>
        <v>71.600000000000009</v>
      </c>
      <c r="Q359" s="9">
        <f t="shared" si="11"/>
        <v>286.39999999999998</v>
      </c>
      <c r="R359" s="5">
        <v>5</v>
      </c>
      <c r="S359" s="5" t="s">
        <v>2034</v>
      </c>
      <c r="T359" s="5" t="s">
        <v>2036</v>
      </c>
    </row>
    <row r="360" spans="1:20" x14ac:dyDescent="0.25">
      <c r="A360" s="5" t="s">
        <v>373</v>
      </c>
      <c r="B360" s="10">
        <v>45469</v>
      </c>
      <c r="C360" s="5" t="s">
        <v>1017</v>
      </c>
      <c r="D360" s="11" t="s">
        <v>1378</v>
      </c>
      <c r="E360" s="5" t="s">
        <v>2414</v>
      </c>
      <c r="F360" s="5">
        <v>47</v>
      </c>
      <c r="G360" s="5" t="str" cm="1">
        <f t="array" ref="G360">_xlfn.IFS(F360&lt;12,"Child",F360&lt;18,"Teen",F360&lt;25,"Young",F360&lt;40,"Adult",F360&lt;60,"Middle Age",F360&gt;=60,"Old")</f>
        <v>Middle Age</v>
      </c>
      <c r="H360" s="5" t="s">
        <v>2043</v>
      </c>
      <c r="I360" s="5" t="s">
        <v>2049</v>
      </c>
      <c r="J360" s="5" t="s">
        <v>2019</v>
      </c>
      <c r="K360" s="5" t="str">
        <f>VLOOKUP(J360,Sheet2!$A$1:$B$11,2,FALSE)</f>
        <v>Formal Wear</v>
      </c>
      <c r="L360" s="5">
        <v>3</v>
      </c>
      <c r="M360" s="6">
        <v>404</v>
      </c>
      <c r="N360" s="6">
        <v>1212</v>
      </c>
      <c r="O360" s="7">
        <v>0.2</v>
      </c>
      <c r="P360" s="8">
        <f t="shared" si="10"/>
        <v>242.4</v>
      </c>
      <c r="Q360" s="9">
        <f t="shared" si="11"/>
        <v>969.6</v>
      </c>
      <c r="R360" s="5">
        <v>19</v>
      </c>
      <c r="S360" s="5" t="s">
        <v>2032</v>
      </c>
      <c r="T360" s="5" t="s">
        <v>2035</v>
      </c>
    </row>
    <row r="361" spans="1:20" x14ac:dyDescent="0.25">
      <c r="A361" s="5" t="s">
        <v>374</v>
      </c>
      <c r="B361" s="10">
        <v>45388</v>
      </c>
      <c r="C361" s="5" t="s">
        <v>1020</v>
      </c>
      <c r="D361" s="11" t="s">
        <v>1379</v>
      </c>
      <c r="E361" s="5" t="s">
        <v>2415</v>
      </c>
      <c r="F361" s="5">
        <v>19</v>
      </c>
      <c r="G361" s="5" t="str" cm="1">
        <f t="array" ref="G361">_xlfn.IFS(F361&lt;12,"Child",F361&lt;18,"Teen",F361&lt;25,"Young",F361&lt;40,"Adult",F361&lt;60,"Middle Age",F361&gt;=60,"Old")</f>
        <v>Young</v>
      </c>
      <c r="H361" s="5" t="s">
        <v>2044</v>
      </c>
      <c r="I361" s="5" t="s">
        <v>2048</v>
      </c>
      <c r="J361" s="5" t="s">
        <v>2020</v>
      </c>
      <c r="K361" s="5" t="str">
        <f>VLOOKUP(J361,Sheet2!$A$1:$B$11,2,FALSE)</f>
        <v>Summer Wear</v>
      </c>
      <c r="L361" s="5">
        <v>4</v>
      </c>
      <c r="M361" s="6">
        <v>297</v>
      </c>
      <c r="N361" s="6">
        <v>1188</v>
      </c>
      <c r="O361" s="7">
        <v>0.15</v>
      </c>
      <c r="P361" s="8">
        <f t="shared" si="10"/>
        <v>178.2</v>
      </c>
      <c r="Q361" s="9">
        <f t="shared" si="11"/>
        <v>1009.8</v>
      </c>
      <c r="R361" s="5">
        <v>20</v>
      </c>
      <c r="S361" s="5" t="s">
        <v>2034</v>
      </c>
      <c r="T361" s="5" t="s">
        <v>2036</v>
      </c>
    </row>
    <row r="362" spans="1:20" x14ac:dyDescent="0.25">
      <c r="A362" s="5" t="s">
        <v>375</v>
      </c>
      <c r="B362" s="10">
        <v>45662</v>
      </c>
      <c r="C362" s="5" t="s">
        <v>1015</v>
      </c>
      <c r="D362" s="11" t="s">
        <v>1380</v>
      </c>
      <c r="E362" s="5" t="s">
        <v>2416</v>
      </c>
      <c r="F362" s="5">
        <v>21</v>
      </c>
      <c r="G362" s="5" t="str" cm="1">
        <f t="array" ref="G362">_xlfn.IFS(F362&lt;12,"Child",F362&lt;18,"Teen",F362&lt;25,"Young",F362&lt;40,"Adult",F362&lt;60,"Middle Age",F362&gt;=60,"Old")</f>
        <v>Young</v>
      </c>
      <c r="H362" s="5" t="s">
        <v>2043</v>
      </c>
      <c r="I362" s="5" t="s">
        <v>2049</v>
      </c>
      <c r="J362" s="5" t="s">
        <v>2023</v>
      </c>
      <c r="K362" s="5" t="str">
        <f>VLOOKUP(J362,Sheet2!$A$1:$B$11,2,FALSE)</f>
        <v>Formal Wear</v>
      </c>
      <c r="L362" s="5">
        <v>2</v>
      </c>
      <c r="M362" s="6">
        <v>1152</v>
      </c>
      <c r="N362" s="6">
        <v>2304</v>
      </c>
      <c r="O362" s="7">
        <v>0</v>
      </c>
      <c r="P362" s="8">
        <f t="shared" si="10"/>
        <v>0</v>
      </c>
      <c r="Q362" s="9">
        <f t="shared" si="11"/>
        <v>2304</v>
      </c>
      <c r="R362" s="5">
        <v>46</v>
      </c>
      <c r="S362" s="5" t="s">
        <v>2033</v>
      </c>
      <c r="T362" s="5" t="s">
        <v>2037</v>
      </c>
    </row>
    <row r="363" spans="1:20" x14ac:dyDescent="0.25">
      <c r="A363" s="5" t="s">
        <v>376</v>
      </c>
      <c r="B363" s="10">
        <v>45470</v>
      </c>
      <c r="C363" s="5" t="s">
        <v>1018</v>
      </c>
      <c r="D363" s="11" t="s">
        <v>1381</v>
      </c>
      <c r="E363" s="5" t="s">
        <v>2417</v>
      </c>
      <c r="F363" s="5">
        <v>41</v>
      </c>
      <c r="G363" s="5" t="str" cm="1">
        <f t="array" ref="G363">_xlfn.IFS(F363&lt;12,"Child",F363&lt;18,"Teen",F363&lt;25,"Young",F363&lt;40,"Adult",F363&lt;60,"Middle Age",F363&gt;=60,"Old")</f>
        <v>Middle Age</v>
      </c>
      <c r="H363" s="5" t="s">
        <v>2043</v>
      </c>
      <c r="I363" s="5" t="s">
        <v>2046</v>
      </c>
      <c r="J363" s="5" t="s">
        <v>2017</v>
      </c>
      <c r="K363" s="5" t="str">
        <f>VLOOKUP(J363,Sheet2!$A$1:$B$11,2,FALSE)</f>
        <v>Casual Wear</v>
      </c>
      <c r="L363" s="5">
        <v>1</v>
      </c>
      <c r="M363" s="6">
        <v>590</v>
      </c>
      <c r="N363" s="6">
        <v>590</v>
      </c>
      <c r="O363" s="7">
        <v>0</v>
      </c>
      <c r="P363" s="8">
        <f t="shared" si="10"/>
        <v>0</v>
      </c>
      <c r="Q363" s="9">
        <f t="shared" si="11"/>
        <v>590</v>
      </c>
      <c r="R363" s="5">
        <v>11</v>
      </c>
      <c r="S363" s="5" t="s">
        <v>2032</v>
      </c>
      <c r="T363" s="5" t="s">
        <v>2035</v>
      </c>
    </row>
    <row r="364" spans="1:20" x14ac:dyDescent="0.25">
      <c r="A364" s="5" t="s">
        <v>377</v>
      </c>
      <c r="B364" s="10">
        <v>45667</v>
      </c>
      <c r="C364" s="5" t="s">
        <v>1014</v>
      </c>
      <c r="D364" s="11" t="s">
        <v>1382</v>
      </c>
      <c r="E364" s="5" t="s">
        <v>2418</v>
      </c>
      <c r="F364" s="5">
        <v>33</v>
      </c>
      <c r="G364" s="5" t="str" cm="1">
        <f t="array" ref="G364">_xlfn.IFS(F364&lt;12,"Child",F364&lt;18,"Teen",F364&lt;25,"Young",F364&lt;40,"Adult",F364&lt;60,"Middle Age",F364&gt;=60,"Old")</f>
        <v>Adult</v>
      </c>
      <c r="H364" s="5" t="s">
        <v>2044</v>
      </c>
      <c r="I364" s="5" t="s">
        <v>2052</v>
      </c>
      <c r="J364" s="5" t="s">
        <v>2022</v>
      </c>
      <c r="K364" s="5" t="str">
        <f>VLOOKUP(J364,Sheet2!$A$1:$B$11,2,FALSE)</f>
        <v>Sportswear</v>
      </c>
      <c r="L364" s="5">
        <v>1</v>
      </c>
      <c r="M364" s="6">
        <v>869</v>
      </c>
      <c r="N364" s="6">
        <v>869</v>
      </c>
      <c r="O364" s="7">
        <v>0.15</v>
      </c>
      <c r="P364" s="8">
        <f t="shared" si="10"/>
        <v>130.35</v>
      </c>
      <c r="Q364" s="9">
        <f t="shared" si="11"/>
        <v>738.65</v>
      </c>
      <c r="R364" s="5">
        <v>14</v>
      </c>
      <c r="S364" s="5" t="s">
        <v>2032</v>
      </c>
      <c r="T364" s="5" t="s">
        <v>2037</v>
      </c>
    </row>
    <row r="365" spans="1:20" x14ac:dyDescent="0.25">
      <c r="A365" s="5" t="s">
        <v>378</v>
      </c>
      <c r="B365" s="10">
        <v>45614</v>
      </c>
      <c r="C365" s="5" t="s">
        <v>1016</v>
      </c>
      <c r="D365" s="11" t="s">
        <v>1383</v>
      </c>
      <c r="E365" s="5" t="s">
        <v>2419</v>
      </c>
      <c r="F365" s="5">
        <v>23</v>
      </c>
      <c r="G365" s="5" t="str" cm="1">
        <f t="array" ref="G365">_xlfn.IFS(F365&lt;12,"Child",F365&lt;18,"Teen",F365&lt;25,"Young",F365&lt;40,"Adult",F365&lt;60,"Middle Age",F365&gt;=60,"Old")</f>
        <v>Young</v>
      </c>
      <c r="H365" s="5" t="s">
        <v>2043</v>
      </c>
      <c r="I365" s="5" t="s">
        <v>2048</v>
      </c>
      <c r="J365" s="5" t="s">
        <v>2019</v>
      </c>
      <c r="K365" s="5" t="str">
        <f>VLOOKUP(J365,Sheet2!$A$1:$B$11,2,FALSE)</f>
        <v>Formal Wear</v>
      </c>
      <c r="L365" s="5">
        <v>4</v>
      </c>
      <c r="M365" s="6">
        <v>515</v>
      </c>
      <c r="N365" s="6">
        <v>2060</v>
      </c>
      <c r="O365" s="7">
        <v>0.1</v>
      </c>
      <c r="P365" s="8">
        <f t="shared" si="10"/>
        <v>206</v>
      </c>
      <c r="Q365" s="9">
        <f t="shared" si="11"/>
        <v>1854</v>
      </c>
      <c r="R365" s="5">
        <v>37</v>
      </c>
      <c r="S365" s="5" t="s">
        <v>2032</v>
      </c>
      <c r="T365" s="5" t="s">
        <v>2036</v>
      </c>
    </row>
    <row r="366" spans="1:20" x14ac:dyDescent="0.25">
      <c r="A366" s="5" t="s">
        <v>379</v>
      </c>
      <c r="B366" s="10">
        <v>45625</v>
      </c>
      <c r="C366" s="5" t="s">
        <v>1014</v>
      </c>
      <c r="D366" s="11" t="s">
        <v>1384</v>
      </c>
      <c r="E366" s="5" t="s">
        <v>2420</v>
      </c>
      <c r="F366" s="5">
        <v>51</v>
      </c>
      <c r="G366" s="5" t="str" cm="1">
        <f t="array" ref="G366">_xlfn.IFS(F366&lt;12,"Child",F366&lt;18,"Teen",F366&lt;25,"Young",F366&lt;40,"Adult",F366&lt;60,"Middle Age",F366&gt;=60,"Old")</f>
        <v>Middle Age</v>
      </c>
      <c r="H366" s="5" t="s">
        <v>2043</v>
      </c>
      <c r="I366" s="5" t="s">
        <v>2051</v>
      </c>
      <c r="J366" s="5" t="s">
        <v>2016</v>
      </c>
      <c r="K366" s="5" t="str">
        <f>VLOOKUP(J366,Sheet2!$A$1:$B$11,2,FALSE)</f>
        <v>Winter Wear</v>
      </c>
      <c r="L366" s="5">
        <v>4</v>
      </c>
      <c r="M366" s="6">
        <v>864</v>
      </c>
      <c r="N366" s="6">
        <v>3456</v>
      </c>
      <c r="O366" s="7">
        <v>0.1</v>
      </c>
      <c r="P366" s="8">
        <f t="shared" si="10"/>
        <v>345.6</v>
      </c>
      <c r="Q366" s="9">
        <f t="shared" si="11"/>
        <v>3110.4</v>
      </c>
      <c r="R366" s="5">
        <v>62</v>
      </c>
      <c r="S366" s="5" t="s">
        <v>2034</v>
      </c>
      <c r="T366" s="5" t="s">
        <v>2036</v>
      </c>
    </row>
    <row r="367" spans="1:20" x14ac:dyDescent="0.25">
      <c r="A367" s="5" t="s">
        <v>380</v>
      </c>
      <c r="B367" s="10">
        <v>45471</v>
      </c>
      <c r="C367" s="5" t="s">
        <v>1014</v>
      </c>
      <c r="D367" s="11" t="s">
        <v>1385</v>
      </c>
      <c r="E367" s="5" t="s">
        <v>2421</v>
      </c>
      <c r="F367" s="5">
        <v>60</v>
      </c>
      <c r="G367" s="5" t="str" cm="1">
        <f t="array" ref="G367">_xlfn.IFS(F367&lt;12,"Child",F367&lt;18,"Teen",F367&lt;25,"Young",F367&lt;40,"Adult",F367&lt;60,"Middle Age",F367&gt;=60,"Old")</f>
        <v>Old</v>
      </c>
      <c r="H367" s="5" t="s">
        <v>2043</v>
      </c>
      <c r="I367" s="5" t="s">
        <v>2015</v>
      </c>
      <c r="J367" s="5" t="s">
        <v>2023</v>
      </c>
      <c r="K367" s="5" t="str">
        <f>VLOOKUP(J367,Sheet2!$A$1:$B$11,2,FALSE)</f>
        <v>Formal Wear</v>
      </c>
      <c r="L367" s="5">
        <v>1</v>
      </c>
      <c r="M367" s="6">
        <v>215</v>
      </c>
      <c r="N367" s="6">
        <v>215</v>
      </c>
      <c r="O367" s="7">
        <v>0.15</v>
      </c>
      <c r="P367" s="8">
        <f t="shared" si="10"/>
        <v>32.25</v>
      </c>
      <c r="Q367" s="9">
        <f t="shared" si="11"/>
        <v>182.75</v>
      </c>
      <c r="R367" s="5">
        <v>3</v>
      </c>
      <c r="S367" s="5" t="s">
        <v>2033</v>
      </c>
      <c r="T367" s="5" t="s">
        <v>2036</v>
      </c>
    </row>
    <row r="368" spans="1:20" x14ac:dyDescent="0.25">
      <c r="A368" s="5" t="s">
        <v>381</v>
      </c>
      <c r="B368" s="10">
        <v>45720</v>
      </c>
      <c r="C368" s="5" t="s">
        <v>1019</v>
      </c>
      <c r="D368" s="11" t="s">
        <v>1386</v>
      </c>
      <c r="E368" s="5" t="s">
        <v>2422</v>
      </c>
      <c r="F368" s="5">
        <v>23</v>
      </c>
      <c r="G368" s="5" t="str" cm="1">
        <f t="array" ref="G368">_xlfn.IFS(F368&lt;12,"Child",F368&lt;18,"Teen",F368&lt;25,"Young",F368&lt;40,"Adult",F368&lt;60,"Middle Age",F368&gt;=60,"Old")</f>
        <v>Young</v>
      </c>
      <c r="H368" s="5" t="s">
        <v>2044</v>
      </c>
      <c r="I368" s="5" t="s">
        <v>2047</v>
      </c>
      <c r="J368" s="5" t="s">
        <v>2023</v>
      </c>
      <c r="K368" s="5" t="str">
        <f>VLOOKUP(J368,Sheet2!$A$1:$B$11,2,FALSE)</f>
        <v>Formal Wear</v>
      </c>
      <c r="L368" s="5">
        <v>3</v>
      </c>
      <c r="M368" s="6">
        <v>1012</v>
      </c>
      <c r="N368" s="6">
        <v>3036</v>
      </c>
      <c r="O368" s="7">
        <v>0</v>
      </c>
      <c r="P368" s="8">
        <f t="shared" si="10"/>
        <v>0</v>
      </c>
      <c r="Q368" s="9">
        <f t="shared" si="11"/>
        <v>3036</v>
      </c>
      <c r="R368" s="5">
        <v>60</v>
      </c>
      <c r="S368" s="5" t="s">
        <v>2034</v>
      </c>
      <c r="T368" s="5" t="s">
        <v>2035</v>
      </c>
    </row>
    <row r="369" spans="1:20" x14ac:dyDescent="0.25">
      <c r="A369" s="5" t="s">
        <v>382</v>
      </c>
      <c r="B369" s="10">
        <v>45604</v>
      </c>
      <c r="C369" s="5" t="s">
        <v>1014</v>
      </c>
      <c r="D369" s="11" t="s">
        <v>1387</v>
      </c>
      <c r="E369" s="5" t="s">
        <v>2423</v>
      </c>
      <c r="F369" s="5">
        <v>49</v>
      </c>
      <c r="G369" s="5" t="str" cm="1">
        <f t="array" ref="G369">_xlfn.IFS(F369&lt;12,"Child",F369&lt;18,"Teen",F369&lt;25,"Young",F369&lt;40,"Adult",F369&lt;60,"Middle Age",F369&gt;=60,"Old")</f>
        <v>Middle Age</v>
      </c>
      <c r="H369" s="5" t="s">
        <v>2044</v>
      </c>
      <c r="I369" s="5" t="s">
        <v>2015</v>
      </c>
      <c r="J369" s="5" t="s">
        <v>2017</v>
      </c>
      <c r="K369" s="5" t="str">
        <f>VLOOKUP(J369,Sheet2!$A$1:$B$11,2,FALSE)</f>
        <v>Casual Wear</v>
      </c>
      <c r="L369" s="5">
        <v>2</v>
      </c>
      <c r="M369" s="6">
        <v>691</v>
      </c>
      <c r="N369" s="6">
        <v>1382</v>
      </c>
      <c r="O369" s="7">
        <v>0.1</v>
      </c>
      <c r="P369" s="8">
        <f t="shared" si="10"/>
        <v>138.20000000000002</v>
      </c>
      <c r="Q369" s="9">
        <f t="shared" si="11"/>
        <v>1243.8</v>
      </c>
      <c r="R369" s="5">
        <v>24</v>
      </c>
      <c r="S369" s="5" t="s">
        <v>2032</v>
      </c>
      <c r="T369" s="5" t="s">
        <v>2036</v>
      </c>
    </row>
    <row r="370" spans="1:20" x14ac:dyDescent="0.25">
      <c r="A370" s="5" t="s">
        <v>383</v>
      </c>
      <c r="B370" s="10">
        <v>45708</v>
      </c>
      <c r="C370" s="5" t="s">
        <v>1018</v>
      </c>
      <c r="D370" s="11" t="s">
        <v>1388</v>
      </c>
      <c r="E370" s="5" t="s">
        <v>2424</v>
      </c>
      <c r="F370" s="5">
        <v>49</v>
      </c>
      <c r="G370" s="5" t="str" cm="1">
        <f t="array" ref="G370">_xlfn.IFS(F370&lt;12,"Child",F370&lt;18,"Teen",F370&lt;25,"Young",F370&lt;40,"Adult",F370&lt;60,"Middle Age",F370&gt;=60,"Old")</f>
        <v>Middle Age</v>
      </c>
      <c r="H370" s="5" t="s">
        <v>2043</v>
      </c>
      <c r="I370" s="5" t="s">
        <v>2051</v>
      </c>
      <c r="J370" s="5" t="s">
        <v>2017</v>
      </c>
      <c r="K370" s="5" t="str">
        <f>VLOOKUP(J370,Sheet2!$A$1:$B$11,2,FALSE)</f>
        <v>Casual Wear</v>
      </c>
      <c r="L370" s="5">
        <v>4</v>
      </c>
      <c r="M370" s="6">
        <v>455</v>
      </c>
      <c r="N370" s="6">
        <v>1820</v>
      </c>
      <c r="O370" s="7">
        <v>0.05</v>
      </c>
      <c r="P370" s="8">
        <f t="shared" si="10"/>
        <v>91</v>
      </c>
      <c r="Q370" s="9">
        <f t="shared" si="11"/>
        <v>1729</v>
      </c>
      <c r="R370" s="5">
        <v>34</v>
      </c>
      <c r="S370" s="5" t="s">
        <v>2032</v>
      </c>
      <c r="T370" s="5" t="s">
        <v>2037</v>
      </c>
    </row>
    <row r="371" spans="1:20" x14ac:dyDescent="0.25">
      <c r="A371" s="5" t="s">
        <v>384</v>
      </c>
      <c r="B371" s="10">
        <v>45595</v>
      </c>
      <c r="C371" s="5" t="s">
        <v>1017</v>
      </c>
      <c r="D371" s="11" t="s">
        <v>1389</v>
      </c>
      <c r="E371" s="5" t="s">
        <v>2425</v>
      </c>
      <c r="F371" s="5">
        <v>51</v>
      </c>
      <c r="G371" s="5" t="str" cm="1">
        <f t="array" ref="G371">_xlfn.IFS(F371&lt;12,"Child",F371&lt;18,"Teen",F371&lt;25,"Young",F371&lt;40,"Adult",F371&lt;60,"Middle Age",F371&gt;=60,"Old")</f>
        <v>Middle Age</v>
      </c>
      <c r="H371" s="5" t="s">
        <v>2043</v>
      </c>
      <c r="I371" s="5" t="s">
        <v>2046</v>
      </c>
      <c r="J371" s="5" t="s">
        <v>2020</v>
      </c>
      <c r="K371" s="5" t="str">
        <f>VLOOKUP(J371,Sheet2!$A$1:$B$11,2,FALSE)</f>
        <v>Summer Wear</v>
      </c>
      <c r="L371" s="5">
        <v>3</v>
      </c>
      <c r="M371" s="6">
        <v>426</v>
      </c>
      <c r="N371" s="6">
        <v>1278</v>
      </c>
      <c r="O371" s="7">
        <v>0</v>
      </c>
      <c r="P371" s="8">
        <f t="shared" si="10"/>
        <v>0</v>
      </c>
      <c r="Q371" s="9">
        <f t="shared" si="11"/>
        <v>1278</v>
      </c>
      <c r="R371" s="5">
        <v>25</v>
      </c>
      <c r="S371" s="5" t="s">
        <v>2033</v>
      </c>
      <c r="T371" s="5" t="s">
        <v>2036</v>
      </c>
    </row>
    <row r="372" spans="1:20" x14ac:dyDescent="0.25">
      <c r="A372" s="5" t="s">
        <v>385</v>
      </c>
      <c r="B372" s="10">
        <v>45435</v>
      </c>
      <c r="C372" s="5" t="s">
        <v>1018</v>
      </c>
      <c r="D372" s="11" t="s">
        <v>1390</v>
      </c>
      <c r="E372" s="5" t="s">
        <v>2426</v>
      </c>
      <c r="F372" s="5">
        <v>59</v>
      </c>
      <c r="G372" s="5" t="str" cm="1">
        <f t="array" ref="G372">_xlfn.IFS(F372&lt;12,"Child",F372&lt;18,"Teen",F372&lt;25,"Young",F372&lt;40,"Adult",F372&lt;60,"Middle Age",F372&gt;=60,"Old")</f>
        <v>Middle Age</v>
      </c>
      <c r="H372" s="5" t="s">
        <v>2043</v>
      </c>
      <c r="I372" s="5" t="s">
        <v>2045</v>
      </c>
      <c r="J372" s="5" t="s">
        <v>2018</v>
      </c>
      <c r="K372" s="5" t="str">
        <f>VLOOKUP(J372,Sheet2!$A$1:$B$11,2,FALSE)</f>
        <v>Sportswear</v>
      </c>
      <c r="L372" s="5">
        <v>5</v>
      </c>
      <c r="M372" s="6">
        <v>1172</v>
      </c>
      <c r="N372" s="6">
        <v>5860</v>
      </c>
      <c r="O372" s="7">
        <v>0.15</v>
      </c>
      <c r="P372" s="8">
        <f t="shared" si="10"/>
        <v>879</v>
      </c>
      <c r="Q372" s="9">
        <f t="shared" si="11"/>
        <v>4981</v>
      </c>
      <c r="R372" s="5">
        <v>99</v>
      </c>
      <c r="S372" s="5" t="s">
        <v>2032</v>
      </c>
      <c r="T372" s="5" t="s">
        <v>2037</v>
      </c>
    </row>
    <row r="373" spans="1:20" x14ac:dyDescent="0.25">
      <c r="A373" s="5" t="s">
        <v>386</v>
      </c>
      <c r="B373" s="10">
        <v>45530</v>
      </c>
      <c r="C373" s="5" t="s">
        <v>1016</v>
      </c>
      <c r="D373" s="11" t="s">
        <v>1391</v>
      </c>
      <c r="E373" s="5" t="s">
        <v>2427</v>
      </c>
      <c r="F373" s="5">
        <v>18</v>
      </c>
      <c r="G373" s="5" t="str" cm="1">
        <f t="array" ref="G373">_xlfn.IFS(F373&lt;12,"Child",F373&lt;18,"Teen",F373&lt;25,"Young",F373&lt;40,"Adult",F373&lt;60,"Middle Age",F373&gt;=60,"Old")</f>
        <v>Young</v>
      </c>
      <c r="H373" s="5" t="s">
        <v>2044</v>
      </c>
      <c r="I373" s="5" t="s">
        <v>2046</v>
      </c>
      <c r="J373" s="5" t="s">
        <v>2016</v>
      </c>
      <c r="K373" s="5" t="str">
        <f>VLOOKUP(J373,Sheet2!$A$1:$B$11,2,FALSE)</f>
        <v>Winter Wear</v>
      </c>
      <c r="L373" s="5">
        <v>1</v>
      </c>
      <c r="M373" s="6">
        <v>237</v>
      </c>
      <c r="N373" s="6">
        <v>237</v>
      </c>
      <c r="O373" s="7">
        <v>0.2</v>
      </c>
      <c r="P373" s="8">
        <f t="shared" si="10"/>
        <v>47.400000000000006</v>
      </c>
      <c r="Q373" s="9">
        <f t="shared" si="11"/>
        <v>189.6</v>
      </c>
      <c r="R373" s="5">
        <v>3</v>
      </c>
      <c r="S373" s="5" t="s">
        <v>2032</v>
      </c>
      <c r="T373" s="5" t="s">
        <v>2037</v>
      </c>
    </row>
    <row r="374" spans="1:20" x14ac:dyDescent="0.25">
      <c r="A374" s="5" t="s">
        <v>387</v>
      </c>
      <c r="B374" s="10">
        <v>45574</v>
      </c>
      <c r="C374" s="5" t="s">
        <v>1017</v>
      </c>
      <c r="D374" s="11" t="s">
        <v>1392</v>
      </c>
      <c r="E374" s="5" t="s">
        <v>2428</v>
      </c>
      <c r="F374" s="5">
        <v>35</v>
      </c>
      <c r="G374" s="5" t="str" cm="1">
        <f t="array" ref="G374">_xlfn.IFS(F374&lt;12,"Child",F374&lt;18,"Teen",F374&lt;25,"Young",F374&lt;40,"Adult",F374&lt;60,"Middle Age",F374&gt;=60,"Old")</f>
        <v>Adult</v>
      </c>
      <c r="H374" s="5" t="s">
        <v>2043</v>
      </c>
      <c r="I374" s="5" t="s">
        <v>2051</v>
      </c>
      <c r="J374" s="5" t="s">
        <v>2017</v>
      </c>
      <c r="K374" s="5" t="str">
        <f>VLOOKUP(J374,Sheet2!$A$1:$B$11,2,FALSE)</f>
        <v>Casual Wear</v>
      </c>
      <c r="L374" s="5">
        <v>2</v>
      </c>
      <c r="M374" s="6">
        <v>1044</v>
      </c>
      <c r="N374" s="6">
        <v>2088</v>
      </c>
      <c r="O374" s="7">
        <v>0.15</v>
      </c>
      <c r="P374" s="8">
        <f t="shared" si="10"/>
        <v>313.2</v>
      </c>
      <c r="Q374" s="9">
        <f t="shared" si="11"/>
        <v>1774.8</v>
      </c>
      <c r="R374" s="5">
        <v>35</v>
      </c>
      <c r="S374" s="5" t="s">
        <v>2033</v>
      </c>
      <c r="T374" s="5" t="s">
        <v>2035</v>
      </c>
    </row>
    <row r="375" spans="1:20" x14ac:dyDescent="0.25">
      <c r="A375" s="5" t="s">
        <v>388</v>
      </c>
      <c r="B375" s="10">
        <v>45555</v>
      </c>
      <c r="C375" s="5" t="s">
        <v>1014</v>
      </c>
      <c r="D375" s="11" t="s">
        <v>1393</v>
      </c>
      <c r="E375" s="5" t="s">
        <v>2429</v>
      </c>
      <c r="F375" s="5">
        <v>50</v>
      </c>
      <c r="G375" s="5" t="str" cm="1">
        <f t="array" ref="G375">_xlfn.IFS(F375&lt;12,"Child",F375&lt;18,"Teen",F375&lt;25,"Young",F375&lt;40,"Adult",F375&lt;60,"Middle Age",F375&gt;=60,"Old")</f>
        <v>Middle Age</v>
      </c>
      <c r="H375" s="5" t="s">
        <v>2044</v>
      </c>
      <c r="I375" s="5" t="s">
        <v>2049</v>
      </c>
      <c r="J375" s="5" t="s">
        <v>2017</v>
      </c>
      <c r="K375" s="5" t="str">
        <f>VLOOKUP(J375,Sheet2!$A$1:$B$11,2,FALSE)</f>
        <v>Casual Wear</v>
      </c>
      <c r="L375" s="5">
        <v>2</v>
      </c>
      <c r="M375" s="6">
        <v>307</v>
      </c>
      <c r="N375" s="6">
        <v>614</v>
      </c>
      <c r="O375" s="7">
        <v>0.2</v>
      </c>
      <c r="P375" s="8">
        <f t="shared" si="10"/>
        <v>122.80000000000001</v>
      </c>
      <c r="Q375" s="9">
        <f t="shared" si="11"/>
        <v>491.2</v>
      </c>
      <c r="R375" s="5">
        <v>9</v>
      </c>
      <c r="S375" s="5" t="s">
        <v>2034</v>
      </c>
      <c r="T375" s="5" t="s">
        <v>2036</v>
      </c>
    </row>
    <row r="376" spans="1:20" x14ac:dyDescent="0.25">
      <c r="A376" s="5" t="s">
        <v>389</v>
      </c>
      <c r="B376" s="10">
        <v>45683</v>
      </c>
      <c r="C376" s="5" t="s">
        <v>1015</v>
      </c>
      <c r="D376" s="11" t="s">
        <v>1394</v>
      </c>
      <c r="E376" s="5" t="s">
        <v>2430</v>
      </c>
      <c r="F376" s="5">
        <v>41</v>
      </c>
      <c r="G376" s="5" t="str" cm="1">
        <f t="array" ref="G376">_xlfn.IFS(F376&lt;12,"Child",F376&lt;18,"Teen",F376&lt;25,"Young",F376&lt;40,"Adult",F376&lt;60,"Middle Age",F376&gt;=60,"Old")</f>
        <v>Middle Age</v>
      </c>
      <c r="H376" s="5" t="s">
        <v>2044</v>
      </c>
      <c r="I376" s="5" t="s">
        <v>2047</v>
      </c>
      <c r="J376" s="5" t="s">
        <v>2024</v>
      </c>
      <c r="K376" s="5" t="str">
        <f>VLOOKUP(J376,Sheet2!$A$1:$B$11,2,FALSE)</f>
        <v>Fashion Accessories</v>
      </c>
      <c r="L376" s="5">
        <v>4</v>
      </c>
      <c r="M376" s="6">
        <v>738</v>
      </c>
      <c r="N376" s="6">
        <v>2952</v>
      </c>
      <c r="O376" s="7">
        <v>0.15</v>
      </c>
      <c r="P376" s="8">
        <f t="shared" si="10"/>
        <v>442.8</v>
      </c>
      <c r="Q376" s="9">
        <f t="shared" si="11"/>
        <v>2509.1999999999998</v>
      </c>
      <c r="R376" s="5">
        <v>50</v>
      </c>
      <c r="S376" s="5" t="s">
        <v>2032</v>
      </c>
      <c r="T376" s="5" t="s">
        <v>2037</v>
      </c>
    </row>
    <row r="377" spans="1:20" x14ac:dyDescent="0.25">
      <c r="A377" s="5" t="s">
        <v>390</v>
      </c>
      <c r="B377" s="10">
        <v>45655</v>
      </c>
      <c r="C377" s="5" t="s">
        <v>1015</v>
      </c>
      <c r="D377" s="11" t="s">
        <v>1395</v>
      </c>
      <c r="E377" s="5" t="s">
        <v>2431</v>
      </c>
      <c r="F377" s="5">
        <v>22</v>
      </c>
      <c r="G377" s="5" t="str" cm="1">
        <f t="array" ref="G377">_xlfn.IFS(F377&lt;12,"Child",F377&lt;18,"Teen",F377&lt;25,"Young",F377&lt;40,"Adult",F377&lt;60,"Middle Age",F377&gt;=60,"Old")</f>
        <v>Young</v>
      </c>
      <c r="H377" s="5" t="s">
        <v>2043</v>
      </c>
      <c r="I377" s="5" t="s">
        <v>2048</v>
      </c>
      <c r="J377" s="5" t="s">
        <v>2019</v>
      </c>
      <c r="K377" s="5" t="str">
        <f>VLOOKUP(J377,Sheet2!$A$1:$B$11,2,FALSE)</f>
        <v>Formal Wear</v>
      </c>
      <c r="L377" s="5">
        <v>2</v>
      </c>
      <c r="M377" s="6">
        <v>415</v>
      </c>
      <c r="N377" s="6">
        <v>830</v>
      </c>
      <c r="O377" s="7">
        <v>0.1</v>
      </c>
      <c r="P377" s="8">
        <f t="shared" si="10"/>
        <v>83</v>
      </c>
      <c r="Q377" s="9">
        <f t="shared" si="11"/>
        <v>747</v>
      </c>
      <c r="R377" s="5">
        <v>14</v>
      </c>
      <c r="S377" s="5" t="s">
        <v>2033</v>
      </c>
      <c r="T377" s="5" t="s">
        <v>2035</v>
      </c>
    </row>
    <row r="378" spans="1:20" x14ac:dyDescent="0.25">
      <c r="A378" s="5" t="s">
        <v>391</v>
      </c>
      <c r="B378" s="10">
        <v>45629</v>
      </c>
      <c r="C378" s="5" t="s">
        <v>1019</v>
      </c>
      <c r="D378" s="11" t="s">
        <v>1396</v>
      </c>
      <c r="E378" s="5" t="s">
        <v>2432</v>
      </c>
      <c r="F378" s="5">
        <v>59</v>
      </c>
      <c r="G378" s="5" t="str" cm="1">
        <f t="array" ref="G378">_xlfn.IFS(F378&lt;12,"Child",F378&lt;18,"Teen",F378&lt;25,"Young",F378&lt;40,"Adult",F378&lt;60,"Middle Age",F378&gt;=60,"Old")</f>
        <v>Middle Age</v>
      </c>
      <c r="H378" s="5" t="s">
        <v>2044</v>
      </c>
      <c r="I378" s="5" t="s">
        <v>2015</v>
      </c>
      <c r="J378" s="5" t="s">
        <v>2022</v>
      </c>
      <c r="K378" s="5" t="str">
        <f>VLOOKUP(J378,Sheet2!$A$1:$B$11,2,FALSE)</f>
        <v>Sportswear</v>
      </c>
      <c r="L378" s="5">
        <v>4</v>
      </c>
      <c r="M378" s="6">
        <v>221</v>
      </c>
      <c r="N378" s="6">
        <v>884</v>
      </c>
      <c r="O378" s="7">
        <v>0</v>
      </c>
      <c r="P378" s="8">
        <f t="shared" si="10"/>
        <v>0</v>
      </c>
      <c r="Q378" s="9">
        <f t="shared" si="11"/>
        <v>884</v>
      </c>
      <c r="R378" s="5">
        <v>17</v>
      </c>
      <c r="S378" s="5" t="s">
        <v>2032</v>
      </c>
      <c r="T378" s="5" t="s">
        <v>2037</v>
      </c>
    </row>
    <row r="379" spans="1:20" x14ac:dyDescent="0.25">
      <c r="A379" s="5" t="s">
        <v>392</v>
      </c>
      <c r="B379" s="10">
        <v>45365</v>
      </c>
      <c r="C379" s="5" t="s">
        <v>1018</v>
      </c>
      <c r="D379" s="11" t="s">
        <v>1397</v>
      </c>
      <c r="E379" s="5" t="s">
        <v>2433</v>
      </c>
      <c r="F379" s="5">
        <v>48</v>
      </c>
      <c r="G379" s="5" t="str" cm="1">
        <f t="array" ref="G379">_xlfn.IFS(F379&lt;12,"Child",F379&lt;18,"Teen",F379&lt;25,"Young",F379&lt;40,"Adult",F379&lt;60,"Middle Age",F379&gt;=60,"Old")</f>
        <v>Middle Age</v>
      </c>
      <c r="H379" s="5" t="s">
        <v>2043</v>
      </c>
      <c r="I379" s="5" t="s">
        <v>2047</v>
      </c>
      <c r="J379" s="5" t="s">
        <v>2018</v>
      </c>
      <c r="K379" s="5" t="str">
        <f>VLOOKUP(J379,Sheet2!$A$1:$B$11,2,FALSE)</f>
        <v>Sportswear</v>
      </c>
      <c r="L379" s="5">
        <v>1</v>
      </c>
      <c r="M379" s="6">
        <v>942</v>
      </c>
      <c r="N379" s="6">
        <v>942</v>
      </c>
      <c r="O379" s="7">
        <v>0.15</v>
      </c>
      <c r="P379" s="8">
        <f t="shared" si="10"/>
        <v>141.29999999999998</v>
      </c>
      <c r="Q379" s="9">
        <f t="shared" si="11"/>
        <v>800.7</v>
      </c>
      <c r="R379" s="5">
        <v>16</v>
      </c>
      <c r="S379" s="5" t="s">
        <v>2034</v>
      </c>
      <c r="T379" s="5" t="s">
        <v>2035</v>
      </c>
    </row>
    <row r="380" spans="1:20" x14ac:dyDescent="0.25">
      <c r="A380" s="5" t="s">
        <v>393</v>
      </c>
      <c r="B380" s="10">
        <v>45567</v>
      </c>
      <c r="C380" s="5" t="s">
        <v>1017</v>
      </c>
      <c r="D380" s="11" t="s">
        <v>1398</v>
      </c>
      <c r="E380" s="5" t="s">
        <v>2434</v>
      </c>
      <c r="F380" s="5">
        <v>20</v>
      </c>
      <c r="G380" s="5" t="str" cm="1">
        <f t="array" ref="G380">_xlfn.IFS(F380&lt;12,"Child",F380&lt;18,"Teen",F380&lt;25,"Young",F380&lt;40,"Adult",F380&lt;60,"Middle Age",F380&gt;=60,"Old")</f>
        <v>Young</v>
      </c>
      <c r="H380" s="5" t="s">
        <v>2044</v>
      </c>
      <c r="I380" s="5" t="s">
        <v>2050</v>
      </c>
      <c r="J380" s="5" t="s">
        <v>2019</v>
      </c>
      <c r="K380" s="5" t="str">
        <f>VLOOKUP(J380,Sheet2!$A$1:$B$11,2,FALSE)</f>
        <v>Formal Wear</v>
      </c>
      <c r="L380" s="5">
        <v>3</v>
      </c>
      <c r="M380" s="6">
        <v>1100</v>
      </c>
      <c r="N380" s="6">
        <v>3300</v>
      </c>
      <c r="O380" s="7">
        <v>0.15</v>
      </c>
      <c r="P380" s="8">
        <f t="shared" si="10"/>
        <v>495</v>
      </c>
      <c r="Q380" s="9">
        <f t="shared" si="11"/>
        <v>2805</v>
      </c>
      <c r="R380" s="5">
        <v>56</v>
      </c>
      <c r="S380" s="5" t="s">
        <v>2033</v>
      </c>
      <c r="T380" s="5" t="s">
        <v>2036</v>
      </c>
    </row>
    <row r="381" spans="1:20" x14ac:dyDescent="0.25">
      <c r="A381" s="5" t="s">
        <v>394</v>
      </c>
      <c r="B381" s="10">
        <v>45670</v>
      </c>
      <c r="C381" s="5" t="s">
        <v>1016</v>
      </c>
      <c r="D381" s="11" t="s">
        <v>1399</v>
      </c>
      <c r="E381" s="5" t="s">
        <v>2435</v>
      </c>
      <c r="F381" s="5">
        <v>56</v>
      </c>
      <c r="G381" s="5" t="str" cm="1">
        <f t="array" ref="G381">_xlfn.IFS(F381&lt;12,"Child",F381&lt;18,"Teen",F381&lt;25,"Young",F381&lt;40,"Adult",F381&lt;60,"Middle Age",F381&gt;=60,"Old")</f>
        <v>Middle Age</v>
      </c>
      <c r="H381" s="5" t="s">
        <v>2044</v>
      </c>
      <c r="I381" s="5" t="s">
        <v>2051</v>
      </c>
      <c r="J381" s="5" t="s">
        <v>2025</v>
      </c>
      <c r="K381" s="5" t="str">
        <f>VLOOKUP(J381,Sheet2!$A$1:$B$11,2,FALSE)</f>
        <v>Formal Wear</v>
      </c>
      <c r="L381" s="5">
        <v>4</v>
      </c>
      <c r="M381" s="6">
        <v>848</v>
      </c>
      <c r="N381" s="6">
        <v>3392</v>
      </c>
      <c r="O381" s="7">
        <v>0.1</v>
      </c>
      <c r="P381" s="8">
        <f t="shared" si="10"/>
        <v>339.20000000000005</v>
      </c>
      <c r="Q381" s="9">
        <f t="shared" si="11"/>
        <v>3052.8</v>
      </c>
      <c r="R381" s="5">
        <v>61</v>
      </c>
      <c r="S381" s="5" t="s">
        <v>2032</v>
      </c>
      <c r="T381" s="5" t="s">
        <v>2037</v>
      </c>
    </row>
    <row r="382" spans="1:20" x14ac:dyDescent="0.25">
      <c r="A382" s="5" t="s">
        <v>395</v>
      </c>
      <c r="B382" s="10">
        <v>45460</v>
      </c>
      <c r="C382" s="5" t="s">
        <v>1016</v>
      </c>
      <c r="D382" s="11" t="s">
        <v>1400</v>
      </c>
      <c r="E382" s="5" t="s">
        <v>2436</v>
      </c>
      <c r="F382" s="5">
        <v>19</v>
      </c>
      <c r="G382" s="5" t="str" cm="1">
        <f t="array" ref="G382">_xlfn.IFS(F382&lt;12,"Child",F382&lt;18,"Teen",F382&lt;25,"Young",F382&lt;40,"Adult",F382&lt;60,"Middle Age",F382&gt;=60,"Old")</f>
        <v>Young</v>
      </c>
      <c r="H382" s="5" t="s">
        <v>2043</v>
      </c>
      <c r="I382" s="5" t="s">
        <v>2045</v>
      </c>
      <c r="J382" s="5" t="s">
        <v>2022</v>
      </c>
      <c r="K382" s="5" t="str">
        <f>VLOOKUP(J382,Sheet2!$A$1:$B$11,2,FALSE)</f>
        <v>Sportswear</v>
      </c>
      <c r="L382" s="5">
        <v>2</v>
      </c>
      <c r="M382" s="6">
        <v>328</v>
      </c>
      <c r="N382" s="6">
        <v>656</v>
      </c>
      <c r="O382" s="7">
        <v>0.05</v>
      </c>
      <c r="P382" s="8">
        <f t="shared" si="10"/>
        <v>32.800000000000004</v>
      </c>
      <c r="Q382" s="9">
        <f t="shared" si="11"/>
        <v>623.20000000000005</v>
      </c>
      <c r="R382" s="5">
        <v>12</v>
      </c>
      <c r="S382" s="5" t="s">
        <v>2032</v>
      </c>
      <c r="T382" s="5" t="s">
        <v>2036</v>
      </c>
    </row>
    <row r="383" spans="1:20" x14ac:dyDescent="0.25">
      <c r="A383" s="5" t="s">
        <v>396</v>
      </c>
      <c r="B383" s="10">
        <v>45426</v>
      </c>
      <c r="C383" s="5" t="s">
        <v>1019</v>
      </c>
      <c r="D383" s="11" t="s">
        <v>1401</v>
      </c>
      <c r="E383" s="5" t="s">
        <v>2437</v>
      </c>
      <c r="F383" s="5">
        <v>27</v>
      </c>
      <c r="G383" s="5" t="str" cm="1">
        <f t="array" ref="G383">_xlfn.IFS(F383&lt;12,"Child",F383&lt;18,"Teen",F383&lt;25,"Young",F383&lt;40,"Adult",F383&lt;60,"Middle Age",F383&gt;=60,"Old")</f>
        <v>Adult</v>
      </c>
      <c r="H383" s="5" t="s">
        <v>2043</v>
      </c>
      <c r="I383" s="5" t="s">
        <v>2050</v>
      </c>
      <c r="J383" s="5" t="s">
        <v>2025</v>
      </c>
      <c r="K383" s="5" t="str">
        <f>VLOOKUP(J383,Sheet2!$A$1:$B$11,2,FALSE)</f>
        <v>Formal Wear</v>
      </c>
      <c r="L383" s="5">
        <v>1</v>
      </c>
      <c r="M383" s="6">
        <v>1008</v>
      </c>
      <c r="N383" s="6">
        <v>1008</v>
      </c>
      <c r="O383" s="7">
        <v>0.2</v>
      </c>
      <c r="P383" s="8">
        <f t="shared" si="10"/>
        <v>201.60000000000002</v>
      </c>
      <c r="Q383" s="9">
        <f t="shared" si="11"/>
        <v>806.4</v>
      </c>
      <c r="R383" s="5">
        <v>16</v>
      </c>
      <c r="S383" s="5" t="s">
        <v>2034</v>
      </c>
      <c r="T383" s="5" t="s">
        <v>2035</v>
      </c>
    </row>
    <row r="384" spans="1:20" x14ac:dyDescent="0.25">
      <c r="A384" s="5" t="s">
        <v>397</v>
      </c>
      <c r="B384" s="10">
        <v>45704</v>
      </c>
      <c r="C384" s="5" t="s">
        <v>1015</v>
      </c>
      <c r="D384" s="11" t="s">
        <v>1402</v>
      </c>
      <c r="E384" s="5" t="s">
        <v>2438</v>
      </c>
      <c r="F384" s="5">
        <v>30</v>
      </c>
      <c r="G384" s="5" t="str" cm="1">
        <f t="array" ref="G384">_xlfn.IFS(F384&lt;12,"Child",F384&lt;18,"Teen",F384&lt;25,"Young",F384&lt;40,"Adult",F384&lt;60,"Middle Age",F384&gt;=60,"Old")</f>
        <v>Adult</v>
      </c>
      <c r="H384" s="5" t="s">
        <v>2043</v>
      </c>
      <c r="I384" s="5" t="s">
        <v>2050</v>
      </c>
      <c r="J384" s="5" t="s">
        <v>2023</v>
      </c>
      <c r="K384" s="5" t="str">
        <f>VLOOKUP(J384,Sheet2!$A$1:$B$11,2,FALSE)</f>
        <v>Formal Wear</v>
      </c>
      <c r="L384" s="5">
        <v>4</v>
      </c>
      <c r="M384" s="6">
        <v>536</v>
      </c>
      <c r="N384" s="6">
        <v>2144</v>
      </c>
      <c r="O384" s="7">
        <v>0</v>
      </c>
      <c r="P384" s="8">
        <f t="shared" si="10"/>
        <v>0</v>
      </c>
      <c r="Q384" s="9">
        <f t="shared" si="11"/>
        <v>2144</v>
      </c>
      <c r="R384" s="5">
        <v>42</v>
      </c>
      <c r="S384" s="5" t="s">
        <v>2032</v>
      </c>
      <c r="T384" s="5" t="s">
        <v>2037</v>
      </c>
    </row>
    <row r="385" spans="1:20" x14ac:dyDescent="0.25">
      <c r="A385" s="5" t="s">
        <v>398</v>
      </c>
      <c r="B385" s="10">
        <v>45362</v>
      </c>
      <c r="C385" s="5" t="s">
        <v>1016</v>
      </c>
      <c r="D385" s="11" t="s">
        <v>1403</v>
      </c>
      <c r="E385" s="5" t="s">
        <v>2439</v>
      </c>
      <c r="F385" s="5">
        <v>48</v>
      </c>
      <c r="G385" s="5" t="str" cm="1">
        <f t="array" ref="G385">_xlfn.IFS(F385&lt;12,"Child",F385&lt;18,"Teen",F385&lt;25,"Young",F385&lt;40,"Adult",F385&lt;60,"Middle Age",F385&gt;=60,"Old")</f>
        <v>Middle Age</v>
      </c>
      <c r="H385" s="5" t="s">
        <v>2044</v>
      </c>
      <c r="I385" s="5" t="s">
        <v>2045</v>
      </c>
      <c r="J385" s="5" t="s">
        <v>2025</v>
      </c>
      <c r="K385" s="5" t="str">
        <f>VLOOKUP(J385,Sheet2!$A$1:$B$11,2,FALSE)</f>
        <v>Formal Wear</v>
      </c>
      <c r="L385" s="5">
        <v>3</v>
      </c>
      <c r="M385" s="6">
        <v>231</v>
      </c>
      <c r="N385" s="6">
        <v>693</v>
      </c>
      <c r="O385" s="7">
        <v>0.15</v>
      </c>
      <c r="P385" s="8">
        <f t="shared" si="10"/>
        <v>103.95</v>
      </c>
      <c r="Q385" s="9">
        <f t="shared" si="11"/>
        <v>589.04999999999995</v>
      </c>
      <c r="R385" s="5">
        <v>11</v>
      </c>
      <c r="S385" s="5" t="s">
        <v>2033</v>
      </c>
      <c r="T385" s="5" t="s">
        <v>2036</v>
      </c>
    </row>
    <row r="386" spans="1:20" x14ac:dyDescent="0.25">
      <c r="A386" s="5" t="s">
        <v>399</v>
      </c>
      <c r="B386" s="10">
        <v>45570</v>
      </c>
      <c r="C386" s="5" t="s">
        <v>1020</v>
      </c>
      <c r="D386" s="11" t="s">
        <v>1404</v>
      </c>
      <c r="E386" s="5" t="s">
        <v>2440</v>
      </c>
      <c r="F386" s="5">
        <v>58</v>
      </c>
      <c r="G386" s="5" t="str" cm="1">
        <f t="array" ref="G386">_xlfn.IFS(F386&lt;12,"Child",F386&lt;18,"Teen",F386&lt;25,"Young",F386&lt;40,"Adult",F386&lt;60,"Middle Age",F386&gt;=60,"Old")</f>
        <v>Middle Age</v>
      </c>
      <c r="H386" s="5" t="s">
        <v>2044</v>
      </c>
      <c r="I386" s="5" t="s">
        <v>2045</v>
      </c>
      <c r="J386" s="5" t="s">
        <v>2022</v>
      </c>
      <c r="K386" s="5" t="str">
        <f>VLOOKUP(J386,Sheet2!$A$1:$B$11,2,FALSE)</f>
        <v>Sportswear</v>
      </c>
      <c r="L386" s="5">
        <v>1</v>
      </c>
      <c r="M386" s="6">
        <v>719</v>
      </c>
      <c r="N386" s="6">
        <v>719</v>
      </c>
      <c r="O386" s="7">
        <v>0</v>
      </c>
      <c r="P386" s="8">
        <f t="shared" si="10"/>
        <v>0</v>
      </c>
      <c r="Q386" s="9">
        <f t="shared" si="11"/>
        <v>719</v>
      </c>
      <c r="R386" s="5">
        <v>14</v>
      </c>
      <c r="S386" s="5" t="s">
        <v>2032</v>
      </c>
      <c r="T386" s="5" t="s">
        <v>2035</v>
      </c>
    </row>
    <row r="387" spans="1:20" x14ac:dyDescent="0.25">
      <c r="A387" s="5" t="s">
        <v>400</v>
      </c>
      <c r="B387" s="10">
        <v>45647</v>
      </c>
      <c r="C387" s="5" t="s">
        <v>1020</v>
      </c>
      <c r="D387" s="11" t="s">
        <v>1405</v>
      </c>
      <c r="E387" s="5" t="s">
        <v>2441</v>
      </c>
      <c r="F387" s="5">
        <v>38</v>
      </c>
      <c r="G387" s="5" t="str" cm="1">
        <f t="array" ref="G387">_xlfn.IFS(F387&lt;12,"Child",F387&lt;18,"Teen",F387&lt;25,"Young",F387&lt;40,"Adult",F387&lt;60,"Middle Age",F387&gt;=60,"Old")</f>
        <v>Adult</v>
      </c>
      <c r="H387" s="5" t="s">
        <v>2044</v>
      </c>
      <c r="I387" s="5" t="s">
        <v>2048</v>
      </c>
      <c r="J387" s="5" t="s">
        <v>2025</v>
      </c>
      <c r="K387" s="5" t="str">
        <f>VLOOKUP(J387,Sheet2!$A$1:$B$11,2,FALSE)</f>
        <v>Formal Wear</v>
      </c>
      <c r="L387" s="5">
        <v>1</v>
      </c>
      <c r="M387" s="6">
        <v>208</v>
      </c>
      <c r="N387" s="6">
        <v>208</v>
      </c>
      <c r="O387" s="7">
        <v>0.05</v>
      </c>
      <c r="P387" s="8">
        <f t="shared" ref="P387:P450" si="12">N387*O387</f>
        <v>10.4</v>
      </c>
      <c r="Q387" s="9">
        <f t="shared" ref="Q387:Q450" si="13">N387-P387</f>
        <v>197.6</v>
      </c>
      <c r="R387" s="5">
        <v>3</v>
      </c>
      <c r="S387" s="5" t="s">
        <v>2034</v>
      </c>
      <c r="T387" s="5" t="s">
        <v>2037</v>
      </c>
    </row>
    <row r="388" spans="1:20" x14ac:dyDescent="0.25">
      <c r="A388" s="5" t="s">
        <v>401</v>
      </c>
      <c r="B388" s="10">
        <v>45398</v>
      </c>
      <c r="C388" s="5" t="s">
        <v>1019</v>
      </c>
      <c r="D388" s="11" t="s">
        <v>1406</v>
      </c>
      <c r="E388" s="5" t="s">
        <v>2442</v>
      </c>
      <c r="F388" s="5">
        <v>43</v>
      </c>
      <c r="G388" s="5" t="str" cm="1">
        <f t="array" ref="G388">_xlfn.IFS(F388&lt;12,"Child",F388&lt;18,"Teen",F388&lt;25,"Young",F388&lt;40,"Adult",F388&lt;60,"Middle Age",F388&gt;=60,"Old")</f>
        <v>Middle Age</v>
      </c>
      <c r="H388" s="5" t="s">
        <v>2043</v>
      </c>
      <c r="I388" s="5" t="s">
        <v>2053</v>
      </c>
      <c r="J388" s="5" t="s">
        <v>2016</v>
      </c>
      <c r="K388" s="5" t="str">
        <f>VLOOKUP(J388,Sheet2!$A$1:$B$11,2,FALSE)</f>
        <v>Winter Wear</v>
      </c>
      <c r="L388" s="5">
        <v>1</v>
      </c>
      <c r="M388" s="6">
        <v>700</v>
      </c>
      <c r="N388" s="6">
        <v>700</v>
      </c>
      <c r="O388" s="7">
        <v>0</v>
      </c>
      <c r="P388" s="8">
        <f t="shared" si="12"/>
        <v>0</v>
      </c>
      <c r="Q388" s="9">
        <f t="shared" si="13"/>
        <v>700</v>
      </c>
      <c r="R388" s="5">
        <v>14</v>
      </c>
      <c r="S388" s="5" t="s">
        <v>2034</v>
      </c>
      <c r="T388" s="5" t="s">
        <v>2035</v>
      </c>
    </row>
    <row r="389" spans="1:20" x14ac:dyDescent="0.25">
      <c r="A389" s="5" t="s">
        <v>402</v>
      </c>
      <c r="B389" s="10">
        <v>45478</v>
      </c>
      <c r="C389" s="5" t="s">
        <v>1014</v>
      </c>
      <c r="D389" s="11" t="s">
        <v>1407</v>
      </c>
      <c r="E389" s="5" t="s">
        <v>2443</v>
      </c>
      <c r="F389" s="5">
        <v>56</v>
      </c>
      <c r="G389" s="5" t="str" cm="1">
        <f t="array" ref="G389">_xlfn.IFS(F389&lt;12,"Child",F389&lt;18,"Teen",F389&lt;25,"Young",F389&lt;40,"Adult",F389&lt;60,"Middle Age",F389&gt;=60,"Old")</f>
        <v>Middle Age</v>
      </c>
      <c r="H389" s="5" t="s">
        <v>2043</v>
      </c>
      <c r="I389" s="5" t="s">
        <v>2015</v>
      </c>
      <c r="J389" s="5" t="s">
        <v>2024</v>
      </c>
      <c r="K389" s="5" t="str">
        <f>VLOOKUP(J389,Sheet2!$A$1:$B$11,2,FALSE)</f>
        <v>Fashion Accessories</v>
      </c>
      <c r="L389" s="5">
        <v>1</v>
      </c>
      <c r="M389" s="6">
        <v>861</v>
      </c>
      <c r="N389" s="6">
        <v>861</v>
      </c>
      <c r="O389" s="7">
        <v>0.2</v>
      </c>
      <c r="P389" s="8">
        <f t="shared" si="12"/>
        <v>172.20000000000002</v>
      </c>
      <c r="Q389" s="9">
        <f t="shared" si="13"/>
        <v>688.8</v>
      </c>
      <c r="R389" s="5">
        <v>13</v>
      </c>
      <c r="S389" s="5" t="s">
        <v>2032</v>
      </c>
      <c r="T389" s="5" t="s">
        <v>2036</v>
      </c>
    </row>
    <row r="390" spans="1:20" x14ac:dyDescent="0.25">
      <c r="A390" s="5" t="s">
        <v>403</v>
      </c>
      <c r="B390" s="10">
        <v>45505</v>
      </c>
      <c r="C390" s="5" t="s">
        <v>1018</v>
      </c>
      <c r="D390" s="11" t="s">
        <v>1408</v>
      </c>
      <c r="E390" s="5" t="s">
        <v>2444</v>
      </c>
      <c r="F390" s="5">
        <v>52</v>
      </c>
      <c r="G390" s="5" t="str" cm="1">
        <f t="array" ref="G390">_xlfn.IFS(F390&lt;12,"Child",F390&lt;18,"Teen",F390&lt;25,"Young",F390&lt;40,"Adult",F390&lt;60,"Middle Age",F390&gt;=60,"Old")</f>
        <v>Middle Age</v>
      </c>
      <c r="H390" s="5" t="s">
        <v>2043</v>
      </c>
      <c r="I390" s="5" t="s">
        <v>2052</v>
      </c>
      <c r="J390" s="5" t="s">
        <v>2025</v>
      </c>
      <c r="K390" s="5" t="str">
        <f>VLOOKUP(J390,Sheet2!$A$1:$B$11,2,FALSE)</f>
        <v>Formal Wear</v>
      </c>
      <c r="L390" s="5">
        <v>2</v>
      </c>
      <c r="M390" s="6">
        <v>968</v>
      </c>
      <c r="N390" s="6">
        <v>1936</v>
      </c>
      <c r="O390" s="7">
        <v>0.05</v>
      </c>
      <c r="P390" s="8">
        <f t="shared" si="12"/>
        <v>96.800000000000011</v>
      </c>
      <c r="Q390" s="9">
        <f t="shared" si="13"/>
        <v>1839.2</v>
      </c>
      <c r="R390" s="5">
        <v>36</v>
      </c>
      <c r="S390" s="5" t="s">
        <v>2033</v>
      </c>
      <c r="T390" s="5" t="s">
        <v>2037</v>
      </c>
    </row>
    <row r="391" spans="1:20" x14ac:dyDescent="0.25">
      <c r="A391" s="5" t="s">
        <v>404</v>
      </c>
      <c r="B391" s="10">
        <v>45612</v>
      </c>
      <c r="C391" s="5" t="s">
        <v>1020</v>
      </c>
      <c r="D391" s="11" t="s">
        <v>1409</v>
      </c>
      <c r="E391" s="5" t="s">
        <v>2445</v>
      </c>
      <c r="F391" s="5">
        <v>30</v>
      </c>
      <c r="G391" s="5" t="str" cm="1">
        <f t="array" ref="G391">_xlfn.IFS(F391&lt;12,"Child",F391&lt;18,"Teen",F391&lt;25,"Young",F391&lt;40,"Adult",F391&lt;60,"Middle Age",F391&gt;=60,"Old")</f>
        <v>Adult</v>
      </c>
      <c r="H391" s="5" t="s">
        <v>2043</v>
      </c>
      <c r="I391" s="5" t="s">
        <v>2049</v>
      </c>
      <c r="J391" s="5" t="s">
        <v>2018</v>
      </c>
      <c r="K391" s="5" t="str">
        <f>VLOOKUP(J391,Sheet2!$A$1:$B$11,2,FALSE)</f>
        <v>Sportswear</v>
      </c>
      <c r="L391" s="5">
        <v>3</v>
      </c>
      <c r="M391" s="6">
        <v>1130</v>
      </c>
      <c r="N391" s="6">
        <v>3390</v>
      </c>
      <c r="O391" s="7">
        <v>0.05</v>
      </c>
      <c r="P391" s="8">
        <f t="shared" si="12"/>
        <v>169.5</v>
      </c>
      <c r="Q391" s="9">
        <f t="shared" si="13"/>
        <v>3220.5</v>
      </c>
      <c r="R391" s="5">
        <v>64</v>
      </c>
      <c r="S391" s="5" t="s">
        <v>2032</v>
      </c>
      <c r="T391" s="5" t="s">
        <v>2036</v>
      </c>
    </row>
    <row r="392" spans="1:20" x14ac:dyDescent="0.25">
      <c r="A392" s="5" t="s">
        <v>405</v>
      </c>
      <c r="B392" s="10">
        <v>45372</v>
      </c>
      <c r="C392" s="5" t="s">
        <v>1018</v>
      </c>
      <c r="D392" s="11" t="s">
        <v>1410</v>
      </c>
      <c r="E392" s="5" t="s">
        <v>2446</v>
      </c>
      <c r="F392" s="5">
        <v>22</v>
      </c>
      <c r="G392" s="5" t="str" cm="1">
        <f t="array" ref="G392">_xlfn.IFS(F392&lt;12,"Child",F392&lt;18,"Teen",F392&lt;25,"Young",F392&lt;40,"Adult",F392&lt;60,"Middle Age",F392&gt;=60,"Old")</f>
        <v>Young</v>
      </c>
      <c r="H392" s="5" t="s">
        <v>2043</v>
      </c>
      <c r="I392" s="5" t="s">
        <v>2048</v>
      </c>
      <c r="J392" s="5" t="s">
        <v>2023</v>
      </c>
      <c r="K392" s="5" t="str">
        <f>VLOOKUP(J392,Sheet2!$A$1:$B$11,2,FALSE)</f>
        <v>Formal Wear</v>
      </c>
      <c r="L392" s="5">
        <v>5</v>
      </c>
      <c r="M392" s="6">
        <v>1032</v>
      </c>
      <c r="N392" s="6">
        <v>5160</v>
      </c>
      <c r="O392" s="7">
        <v>0.05</v>
      </c>
      <c r="P392" s="8">
        <f t="shared" si="12"/>
        <v>258</v>
      </c>
      <c r="Q392" s="9">
        <f t="shared" si="13"/>
        <v>4902</v>
      </c>
      <c r="R392" s="5">
        <v>98</v>
      </c>
      <c r="S392" s="5" t="s">
        <v>2034</v>
      </c>
      <c r="T392" s="5" t="s">
        <v>2037</v>
      </c>
    </row>
    <row r="393" spans="1:20" x14ac:dyDescent="0.25">
      <c r="A393" s="5" t="s">
        <v>406</v>
      </c>
      <c r="B393" s="10">
        <v>45678</v>
      </c>
      <c r="C393" s="5" t="s">
        <v>1019</v>
      </c>
      <c r="D393" s="11" t="s">
        <v>1411</v>
      </c>
      <c r="E393" s="5" t="s">
        <v>2447</v>
      </c>
      <c r="F393" s="5">
        <v>53</v>
      </c>
      <c r="G393" s="5" t="str" cm="1">
        <f t="array" ref="G393">_xlfn.IFS(F393&lt;12,"Child",F393&lt;18,"Teen",F393&lt;25,"Young",F393&lt;40,"Adult",F393&lt;60,"Middle Age",F393&gt;=60,"Old")</f>
        <v>Middle Age</v>
      </c>
      <c r="H393" s="5" t="s">
        <v>2044</v>
      </c>
      <c r="I393" s="5" t="s">
        <v>2051</v>
      </c>
      <c r="J393" s="5" t="s">
        <v>2025</v>
      </c>
      <c r="K393" s="5" t="str">
        <f>VLOOKUP(J393,Sheet2!$A$1:$B$11,2,FALSE)</f>
        <v>Formal Wear</v>
      </c>
      <c r="L393" s="5">
        <v>2</v>
      </c>
      <c r="M393" s="6">
        <v>389</v>
      </c>
      <c r="N393" s="6">
        <v>778</v>
      </c>
      <c r="O393" s="7">
        <v>0</v>
      </c>
      <c r="P393" s="8">
        <f t="shared" si="12"/>
        <v>0</v>
      </c>
      <c r="Q393" s="9">
        <f t="shared" si="13"/>
        <v>778</v>
      </c>
      <c r="R393" s="5">
        <v>15</v>
      </c>
      <c r="S393" s="5" t="s">
        <v>2032</v>
      </c>
      <c r="T393" s="5" t="s">
        <v>2037</v>
      </c>
    </row>
    <row r="394" spans="1:20" x14ac:dyDescent="0.25">
      <c r="A394" s="5" t="s">
        <v>407</v>
      </c>
      <c r="B394" s="10">
        <v>45480</v>
      </c>
      <c r="C394" s="5" t="s">
        <v>1015</v>
      </c>
      <c r="D394" s="11" t="s">
        <v>1412</v>
      </c>
      <c r="E394" s="5" t="s">
        <v>2448</v>
      </c>
      <c r="F394" s="5">
        <v>24</v>
      </c>
      <c r="G394" s="5" t="str" cm="1">
        <f t="array" ref="G394">_xlfn.IFS(F394&lt;12,"Child",F394&lt;18,"Teen",F394&lt;25,"Young",F394&lt;40,"Adult",F394&lt;60,"Middle Age",F394&gt;=60,"Old")</f>
        <v>Young</v>
      </c>
      <c r="H394" s="5" t="s">
        <v>2043</v>
      </c>
      <c r="I394" s="5" t="s">
        <v>2049</v>
      </c>
      <c r="J394" s="5" t="s">
        <v>2023</v>
      </c>
      <c r="K394" s="5" t="str">
        <f>VLOOKUP(J394,Sheet2!$A$1:$B$11,2,FALSE)</f>
        <v>Formal Wear</v>
      </c>
      <c r="L394" s="5">
        <v>2</v>
      </c>
      <c r="M394" s="6">
        <v>803</v>
      </c>
      <c r="N394" s="6">
        <v>1606</v>
      </c>
      <c r="O394" s="7">
        <v>0</v>
      </c>
      <c r="P394" s="8">
        <f t="shared" si="12"/>
        <v>0</v>
      </c>
      <c r="Q394" s="9">
        <f t="shared" si="13"/>
        <v>1606</v>
      </c>
      <c r="R394" s="5">
        <v>32</v>
      </c>
      <c r="S394" s="5" t="s">
        <v>2034</v>
      </c>
      <c r="T394" s="5" t="s">
        <v>2037</v>
      </c>
    </row>
    <row r="395" spans="1:20" x14ac:dyDescent="0.25">
      <c r="A395" s="5" t="s">
        <v>408</v>
      </c>
      <c r="B395" s="10">
        <v>45709</v>
      </c>
      <c r="C395" s="5" t="s">
        <v>1014</v>
      </c>
      <c r="D395" s="11" t="s">
        <v>1413</v>
      </c>
      <c r="E395" s="5" t="s">
        <v>2449</v>
      </c>
      <c r="F395" s="5">
        <v>21</v>
      </c>
      <c r="G395" s="5" t="str" cm="1">
        <f t="array" ref="G395">_xlfn.IFS(F395&lt;12,"Child",F395&lt;18,"Teen",F395&lt;25,"Young",F395&lt;40,"Adult",F395&lt;60,"Middle Age",F395&gt;=60,"Old")</f>
        <v>Young</v>
      </c>
      <c r="H395" s="5" t="s">
        <v>2043</v>
      </c>
      <c r="I395" s="5" t="s">
        <v>2048</v>
      </c>
      <c r="J395" s="5" t="s">
        <v>2018</v>
      </c>
      <c r="K395" s="5" t="str">
        <f>VLOOKUP(J395,Sheet2!$A$1:$B$11,2,FALSE)</f>
        <v>Sportswear</v>
      </c>
      <c r="L395" s="5">
        <v>3</v>
      </c>
      <c r="M395" s="6">
        <v>714</v>
      </c>
      <c r="N395" s="6">
        <v>2142</v>
      </c>
      <c r="O395" s="7">
        <v>0.15</v>
      </c>
      <c r="P395" s="8">
        <f t="shared" si="12"/>
        <v>321.3</v>
      </c>
      <c r="Q395" s="9">
        <f t="shared" si="13"/>
        <v>1820.7</v>
      </c>
      <c r="R395" s="5">
        <v>36</v>
      </c>
      <c r="S395" s="5" t="s">
        <v>2033</v>
      </c>
      <c r="T395" s="5" t="s">
        <v>2037</v>
      </c>
    </row>
    <row r="396" spans="1:20" x14ac:dyDescent="0.25">
      <c r="A396" s="5" t="s">
        <v>409</v>
      </c>
      <c r="B396" s="10">
        <v>45466</v>
      </c>
      <c r="C396" s="5" t="s">
        <v>1015</v>
      </c>
      <c r="D396" s="11" t="s">
        <v>1414</v>
      </c>
      <c r="E396" s="5" t="s">
        <v>2450</v>
      </c>
      <c r="F396" s="5">
        <v>37</v>
      </c>
      <c r="G396" s="5" t="str" cm="1">
        <f t="array" ref="G396">_xlfn.IFS(F396&lt;12,"Child",F396&lt;18,"Teen",F396&lt;25,"Young",F396&lt;40,"Adult",F396&lt;60,"Middle Age",F396&gt;=60,"Old")</f>
        <v>Adult</v>
      </c>
      <c r="H396" s="5" t="s">
        <v>2044</v>
      </c>
      <c r="I396" s="5" t="s">
        <v>2048</v>
      </c>
      <c r="J396" s="5" t="s">
        <v>2022</v>
      </c>
      <c r="K396" s="5" t="str">
        <f>VLOOKUP(J396,Sheet2!$A$1:$B$11,2,FALSE)</f>
        <v>Sportswear</v>
      </c>
      <c r="L396" s="5">
        <v>2</v>
      </c>
      <c r="M396" s="6">
        <v>721</v>
      </c>
      <c r="N396" s="6">
        <v>1442</v>
      </c>
      <c r="O396" s="7">
        <v>0.1</v>
      </c>
      <c r="P396" s="8">
        <f t="shared" si="12"/>
        <v>144.20000000000002</v>
      </c>
      <c r="Q396" s="9">
        <f t="shared" si="13"/>
        <v>1297.8</v>
      </c>
      <c r="R396" s="5">
        <v>25</v>
      </c>
      <c r="S396" s="5" t="s">
        <v>2032</v>
      </c>
      <c r="T396" s="5" t="s">
        <v>2037</v>
      </c>
    </row>
    <row r="397" spans="1:20" x14ac:dyDescent="0.25">
      <c r="A397" s="5" t="s">
        <v>410</v>
      </c>
      <c r="B397" s="10">
        <v>45367</v>
      </c>
      <c r="C397" s="5" t="s">
        <v>1020</v>
      </c>
      <c r="D397" s="11" t="s">
        <v>1415</v>
      </c>
      <c r="E397" s="5" t="s">
        <v>2451</v>
      </c>
      <c r="F397" s="5">
        <v>40</v>
      </c>
      <c r="G397" s="5" t="str" cm="1">
        <f t="array" ref="G397">_xlfn.IFS(F397&lt;12,"Child",F397&lt;18,"Teen",F397&lt;25,"Young",F397&lt;40,"Adult",F397&lt;60,"Middle Age",F397&gt;=60,"Old")</f>
        <v>Middle Age</v>
      </c>
      <c r="H397" s="5" t="s">
        <v>2044</v>
      </c>
      <c r="I397" s="5" t="s">
        <v>2049</v>
      </c>
      <c r="J397" s="5" t="s">
        <v>2017</v>
      </c>
      <c r="K397" s="5" t="str">
        <f>VLOOKUP(J397,Sheet2!$A$1:$B$11,2,FALSE)</f>
        <v>Casual Wear</v>
      </c>
      <c r="L397" s="5">
        <v>3</v>
      </c>
      <c r="M397" s="6">
        <v>621</v>
      </c>
      <c r="N397" s="6">
        <v>1863</v>
      </c>
      <c r="O397" s="7">
        <v>0.15</v>
      </c>
      <c r="P397" s="8">
        <f t="shared" si="12"/>
        <v>279.45</v>
      </c>
      <c r="Q397" s="9">
        <f t="shared" si="13"/>
        <v>1583.55</v>
      </c>
      <c r="R397" s="5">
        <v>31</v>
      </c>
      <c r="S397" s="5" t="s">
        <v>2034</v>
      </c>
      <c r="T397" s="5" t="s">
        <v>2036</v>
      </c>
    </row>
    <row r="398" spans="1:20" x14ac:dyDescent="0.25">
      <c r="A398" s="5" t="s">
        <v>411</v>
      </c>
      <c r="B398" s="10">
        <v>45720</v>
      </c>
      <c r="C398" s="5" t="s">
        <v>1019</v>
      </c>
      <c r="D398" s="11" t="s">
        <v>1416</v>
      </c>
      <c r="E398" s="5" t="s">
        <v>2452</v>
      </c>
      <c r="F398" s="5">
        <v>60</v>
      </c>
      <c r="G398" s="5" t="str" cm="1">
        <f t="array" ref="G398">_xlfn.IFS(F398&lt;12,"Child",F398&lt;18,"Teen",F398&lt;25,"Young",F398&lt;40,"Adult",F398&lt;60,"Middle Age",F398&gt;=60,"Old")</f>
        <v>Old</v>
      </c>
      <c r="H398" s="5" t="s">
        <v>2044</v>
      </c>
      <c r="I398" s="5" t="s">
        <v>2053</v>
      </c>
      <c r="J398" s="5" t="s">
        <v>2024</v>
      </c>
      <c r="K398" s="5" t="str">
        <f>VLOOKUP(J398,Sheet2!$A$1:$B$11,2,FALSE)</f>
        <v>Fashion Accessories</v>
      </c>
      <c r="L398" s="5">
        <v>4</v>
      </c>
      <c r="M398" s="6">
        <v>491</v>
      </c>
      <c r="N398" s="6">
        <v>1964</v>
      </c>
      <c r="O398" s="7">
        <v>0.1</v>
      </c>
      <c r="P398" s="8">
        <f t="shared" si="12"/>
        <v>196.4</v>
      </c>
      <c r="Q398" s="9">
        <f t="shared" si="13"/>
        <v>1767.6</v>
      </c>
      <c r="R398" s="5">
        <v>35</v>
      </c>
      <c r="S398" s="5" t="s">
        <v>2034</v>
      </c>
      <c r="T398" s="5" t="s">
        <v>2036</v>
      </c>
    </row>
    <row r="399" spans="1:20" x14ac:dyDescent="0.25">
      <c r="A399" s="5" t="s">
        <v>412</v>
      </c>
      <c r="B399" s="10">
        <v>45564</v>
      </c>
      <c r="C399" s="5" t="s">
        <v>1015</v>
      </c>
      <c r="D399" s="11" t="s">
        <v>1417</v>
      </c>
      <c r="E399" s="5" t="s">
        <v>2453</v>
      </c>
      <c r="F399" s="5">
        <v>20</v>
      </c>
      <c r="G399" s="5" t="str" cm="1">
        <f t="array" ref="G399">_xlfn.IFS(F399&lt;12,"Child",F399&lt;18,"Teen",F399&lt;25,"Young",F399&lt;40,"Adult",F399&lt;60,"Middle Age",F399&gt;=60,"Old")</f>
        <v>Young</v>
      </c>
      <c r="H399" s="5" t="s">
        <v>2043</v>
      </c>
      <c r="I399" s="5" t="s">
        <v>2048</v>
      </c>
      <c r="J399" s="5" t="s">
        <v>2023</v>
      </c>
      <c r="K399" s="5" t="str">
        <f>VLOOKUP(J399,Sheet2!$A$1:$B$11,2,FALSE)</f>
        <v>Formal Wear</v>
      </c>
      <c r="L399" s="5">
        <v>3</v>
      </c>
      <c r="M399" s="6">
        <v>270</v>
      </c>
      <c r="N399" s="6">
        <v>810</v>
      </c>
      <c r="O399" s="7">
        <v>0.1</v>
      </c>
      <c r="P399" s="8">
        <f t="shared" si="12"/>
        <v>81</v>
      </c>
      <c r="Q399" s="9">
        <f t="shared" si="13"/>
        <v>729</v>
      </c>
      <c r="R399" s="5">
        <v>14</v>
      </c>
      <c r="S399" s="5" t="s">
        <v>2033</v>
      </c>
      <c r="T399" s="5" t="s">
        <v>2036</v>
      </c>
    </row>
    <row r="400" spans="1:20" x14ac:dyDescent="0.25">
      <c r="A400" s="5" t="s">
        <v>413</v>
      </c>
      <c r="B400" s="10">
        <v>45392</v>
      </c>
      <c r="C400" s="5" t="s">
        <v>1017</v>
      </c>
      <c r="D400" s="11" t="s">
        <v>1418</v>
      </c>
      <c r="E400" s="5" t="s">
        <v>2454</v>
      </c>
      <c r="F400" s="5">
        <v>53</v>
      </c>
      <c r="G400" s="5" t="str" cm="1">
        <f t="array" ref="G400">_xlfn.IFS(F400&lt;12,"Child",F400&lt;18,"Teen",F400&lt;25,"Young",F400&lt;40,"Adult",F400&lt;60,"Middle Age",F400&gt;=60,"Old")</f>
        <v>Middle Age</v>
      </c>
      <c r="H400" s="5" t="s">
        <v>2043</v>
      </c>
      <c r="I400" s="5" t="s">
        <v>2050</v>
      </c>
      <c r="J400" s="5" t="s">
        <v>2017</v>
      </c>
      <c r="K400" s="5" t="str">
        <f>VLOOKUP(J400,Sheet2!$A$1:$B$11,2,FALSE)</f>
        <v>Casual Wear</v>
      </c>
      <c r="L400" s="5">
        <v>1</v>
      </c>
      <c r="M400" s="6">
        <v>1149</v>
      </c>
      <c r="N400" s="6">
        <v>1149</v>
      </c>
      <c r="O400" s="7">
        <v>0</v>
      </c>
      <c r="P400" s="8">
        <f t="shared" si="12"/>
        <v>0</v>
      </c>
      <c r="Q400" s="9">
        <f t="shared" si="13"/>
        <v>1149</v>
      </c>
      <c r="R400" s="5">
        <v>22</v>
      </c>
      <c r="S400" s="5" t="s">
        <v>2034</v>
      </c>
      <c r="T400" s="5" t="s">
        <v>2037</v>
      </c>
    </row>
    <row r="401" spans="1:20" x14ac:dyDescent="0.25">
      <c r="A401" s="5" t="s">
        <v>414</v>
      </c>
      <c r="B401" s="10">
        <v>45559</v>
      </c>
      <c r="C401" s="5" t="s">
        <v>1019</v>
      </c>
      <c r="D401" s="11" t="s">
        <v>1419</v>
      </c>
      <c r="E401" s="5" t="s">
        <v>2455</v>
      </c>
      <c r="F401" s="5">
        <v>24</v>
      </c>
      <c r="G401" s="5" t="str" cm="1">
        <f t="array" ref="G401">_xlfn.IFS(F401&lt;12,"Child",F401&lt;18,"Teen",F401&lt;25,"Young",F401&lt;40,"Adult",F401&lt;60,"Middle Age",F401&gt;=60,"Old")</f>
        <v>Young</v>
      </c>
      <c r="H401" s="5" t="s">
        <v>2043</v>
      </c>
      <c r="I401" s="5" t="s">
        <v>2053</v>
      </c>
      <c r="J401" s="5" t="s">
        <v>2017</v>
      </c>
      <c r="K401" s="5" t="str">
        <f>VLOOKUP(J401,Sheet2!$A$1:$B$11,2,FALSE)</f>
        <v>Casual Wear</v>
      </c>
      <c r="L401" s="5">
        <v>4</v>
      </c>
      <c r="M401" s="6">
        <v>775</v>
      </c>
      <c r="N401" s="6">
        <v>3100</v>
      </c>
      <c r="O401" s="7">
        <v>0.1</v>
      </c>
      <c r="P401" s="8">
        <f t="shared" si="12"/>
        <v>310</v>
      </c>
      <c r="Q401" s="9">
        <f t="shared" si="13"/>
        <v>2790</v>
      </c>
      <c r="R401" s="5">
        <v>55</v>
      </c>
      <c r="S401" s="5" t="s">
        <v>2033</v>
      </c>
      <c r="T401" s="5" t="s">
        <v>2035</v>
      </c>
    </row>
    <row r="402" spans="1:20" x14ac:dyDescent="0.25">
      <c r="A402" s="5" t="s">
        <v>415</v>
      </c>
      <c r="B402" s="10">
        <v>45635</v>
      </c>
      <c r="C402" s="5" t="s">
        <v>1016</v>
      </c>
      <c r="D402" s="11" t="s">
        <v>1420</v>
      </c>
      <c r="E402" s="5" t="s">
        <v>2456</v>
      </c>
      <c r="F402" s="5">
        <v>52</v>
      </c>
      <c r="G402" s="5" t="str" cm="1">
        <f t="array" ref="G402">_xlfn.IFS(F402&lt;12,"Child",F402&lt;18,"Teen",F402&lt;25,"Young",F402&lt;40,"Adult",F402&lt;60,"Middle Age",F402&gt;=60,"Old")</f>
        <v>Middle Age</v>
      </c>
      <c r="H402" s="5" t="s">
        <v>2043</v>
      </c>
      <c r="I402" s="5" t="s">
        <v>2046</v>
      </c>
      <c r="J402" s="5" t="s">
        <v>2020</v>
      </c>
      <c r="K402" s="5" t="str">
        <f>VLOOKUP(J402,Sheet2!$A$1:$B$11,2,FALSE)</f>
        <v>Summer Wear</v>
      </c>
      <c r="L402" s="5">
        <v>3</v>
      </c>
      <c r="M402" s="6">
        <v>428</v>
      </c>
      <c r="N402" s="6">
        <v>1284</v>
      </c>
      <c r="O402" s="7">
        <v>0.05</v>
      </c>
      <c r="P402" s="8">
        <f t="shared" si="12"/>
        <v>64.2</v>
      </c>
      <c r="Q402" s="9">
        <f t="shared" si="13"/>
        <v>1219.8</v>
      </c>
      <c r="R402" s="5">
        <v>24</v>
      </c>
      <c r="S402" s="5" t="s">
        <v>2032</v>
      </c>
      <c r="T402" s="5" t="s">
        <v>2035</v>
      </c>
    </row>
    <row r="403" spans="1:20" x14ac:dyDescent="0.25">
      <c r="A403" s="5" t="s">
        <v>416</v>
      </c>
      <c r="B403" s="10">
        <v>45389</v>
      </c>
      <c r="C403" s="5" t="s">
        <v>1015</v>
      </c>
      <c r="D403" s="11" t="s">
        <v>1421</v>
      </c>
      <c r="E403" s="5" t="s">
        <v>2457</v>
      </c>
      <c r="F403" s="5">
        <v>50</v>
      </c>
      <c r="G403" s="5" t="str" cm="1">
        <f t="array" ref="G403">_xlfn.IFS(F403&lt;12,"Child",F403&lt;18,"Teen",F403&lt;25,"Young",F403&lt;40,"Adult",F403&lt;60,"Middle Age",F403&gt;=60,"Old")</f>
        <v>Middle Age</v>
      </c>
      <c r="H403" s="5" t="s">
        <v>2044</v>
      </c>
      <c r="I403" s="5" t="s">
        <v>2015</v>
      </c>
      <c r="J403" s="5" t="s">
        <v>2017</v>
      </c>
      <c r="K403" s="5" t="str">
        <f>VLOOKUP(J403,Sheet2!$A$1:$B$11,2,FALSE)</f>
        <v>Casual Wear</v>
      </c>
      <c r="L403" s="5">
        <v>3</v>
      </c>
      <c r="M403" s="6">
        <v>572</v>
      </c>
      <c r="N403" s="6">
        <v>1716</v>
      </c>
      <c r="O403" s="7">
        <v>0.15</v>
      </c>
      <c r="P403" s="8">
        <f t="shared" si="12"/>
        <v>257.39999999999998</v>
      </c>
      <c r="Q403" s="9">
        <f t="shared" si="13"/>
        <v>1458.6</v>
      </c>
      <c r="R403" s="5">
        <v>29</v>
      </c>
      <c r="S403" s="5" t="s">
        <v>2033</v>
      </c>
      <c r="T403" s="5" t="s">
        <v>2037</v>
      </c>
    </row>
    <row r="404" spans="1:20" x14ac:dyDescent="0.25">
      <c r="A404" s="5" t="s">
        <v>417</v>
      </c>
      <c r="B404" s="10">
        <v>45679</v>
      </c>
      <c r="C404" s="5" t="s">
        <v>1017</v>
      </c>
      <c r="D404" s="11" t="s">
        <v>1422</v>
      </c>
      <c r="E404" s="5" t="s">
        <v>2458</v>
      </c>
      <c r="F404" s="5">
        <v>45</v>
      </c>
      <c r="G404" s="5" t="str" cm="1">
        <f t="array" ref="G404">_xlfn.IFS(F404&lt;12,"Child",F404&lt;18,"Teen",F404&lt;25,"Young",F404&lt;40,"Adult",F404&lt;60,"Middle Age",F404&gt;=60,"Old")</f>
        <v>Middle Age</v>
      </c>
      <c r="H404" s="5" t="s">
        <v>2044</v>
      </c>
      <c r="I404" s="5" t="s">
        <v>2045</v>
      </c>
      <c r="J404" s="5" t="s">
        <v>2022</v>
      </c>
      <c r="K404" s="5" t="str">
        <f>VLOOKUP(J404,Sheet2!$A$1:$B$11,2,FALSE)</f>
        <v>Sportswear</v>
      </c>
      <c r="L404" s="5">
        <v>5</v>
      </c>
      <c r="M404" s="6">
        <v>1068</v>
      </c>
      <c r="N404" s="6">
        <v>5340</v>
      </c>
      <c r="O404" s="7">
        <v>0.2</v>
      </c>
      <c r="P404" s="8">
        <f t="shared" si="12"/>
        <v>1068</v>
      </c>
      <c r="Q404" s="9">
        <f t="shared" si="13"/>
        <v>4272</v>
      </c>
      <c r="R404" s="5">
        <v>85</v>
      </c>
      <c r="S404" s="5" t="s">
        <v>2033</v>
      </c>
      <c r="T404" s="5" t="s">
        <v>2037</v>
      </c>
    </row>
    <row r="405" spans="1:20" x14ac:dyDescent="0.25">
      <c r="A405" s="5" t="s">
        <v>418</v>
      </c>
      <c r="B405" s="10">
        <v>45563</v>
      </c>
      <c r="C405" s="5" t="s">
        <v>1020</v>
      </c>
      <c r="D405" s="11" t="s">
        <v>1423</v>
      </c>
      <c r="E405" s="5" t="s">
        <v>2459</v>
      </c>
      <c r="F405" s="5">
        <v>22</v>
      </c>
      <c r="G405" s="5" t="str" cm="1">
        <f t="array" ref="G405">_xlfn.IFS(F405&lt;12,"Child",F405&lt;18,"Teen",F405&lt;25,"Young",F405&lt;40,"Adult",F405&lt;60,"Middle Age",F405&gt;=60,"Old")</f>
        <v>Young</v>
      </c>
      <c r="H405" s="5" t="s">
        <v>2044</v>
      </c>
      <c r="I405" s="5" t="s">
        <v>2050</v>
      </c>
      <c r="J405" s="5" t="s">
        <v>2025</v>
      </c>
      <c r="K405" s="5" t="str">
        <f>VLOOKUP(J405,Sheet2!$A$1:$B$11,2,FALSE)</f>
        <v>Formal Wear</v>
      </c>
      <c r="L405" s="5">
        <v>1</v>
      </c>
      <c r="M405" s="6">
        <v>748</v>
      </c>
      <c r="N405" s="6">
        <v>748</v>
      </c>
      <c r="O405" s="7">
        <v>0.05</v>
      </c>
      <c r="P405" s="8">
        <f t="shared" si="12"/>
        <v>37.4</v>
      </c>
      <c r="Q405" s="9">
        <f t="shared" si="13"/>
        <v>710.6</v>
      </c>
      <c r="R405" s="5">
        <v>14</v>
      </c>
      <c r="S405" s="5" t="s">
        <v>2034</v>
      </c>
      <c r="T405" s="5" t="s">
        <v>2036</v>
      </c>
    </row>
    <row r="406" spans="1:20" x14ac:dyDescent="0.25">
      <c r="A406" s="5" t="s">
        <v>419</v>
      </c>
      <c r="B406" s="10">
        <v>45391</v>
      </c>
      <c r="C406" s="5" t="s">
        <v>1019</v>
      </c>
      <c r="D406" s="11" t="s">
        <v>1424</v>
      </c>
      <c r="E406" s="5" t="s">
        <v>2460</v>
      </c>
      <c r="F406" s="5">
        <v>27</v>
      </c>
      <c r="G406" s="5" t="str" cm="1">
        <f t="array" ref="G406">_xlfn.IFS(F406&lt;12,"Child",F406&lt;18,"Teen",F406&lt;25,"Young",F406&lt;40,"Adult",F406&lt;60,"Middle Age",F406&gt;=60,"Old")</f>
        <v>Adult</v>
      </c>
      <c r="H406" s="5" t="s">
        <v>2044</v>
      </c>
      <c r="I406" s="5" t="s">
        <v>2015</v>
      </c>
      <c r="J406" s="5" t="s">
        <v>2020</v>
      </c>
      <c r="K406" s="5" t="str">
        <f>VLOOKUP(J406,Sheet2!$A$1:$B$11,2,FALSE)</f>
        <v>Summer Wear</v>
      </c>
      <c r="L406" s="5">
        <v>2</v>
      </c>
      <c r="M406" s="6">
        <v>1059</v>
      </c>
      <c r="N406" s="6">
        <v>2118</v>
      </c>
      <c r="O406" s="7">
        <v>0.05</v>
      </c>
      <c r="P406" s="8">
        <f t="shared" si="12"/>
        <v>105.9</v>
      </c>
      <c r="Q406" s="9">
        <f t="shared" si="13"/>
        <v>2012.1</v>
      </c>
      <c r="R406" s="5">
        <v>40</v>
      </c>
      <c r="S406" s="5" t="s">
        <v>2032</v>
      </c>
      <c r="T406" s="5" t="s">
        <v>2035</v>
      </c>
    </row>
    <row r="407" spans="1:20" x14ac:dyDescent="0.25">
      <c r="A407" s="5" t="s">
        <v>420</v>
      </c>
      <c r="B407" s="10">
        <v>45433</v>
      </c>
      <c r="C407" s="5" t="s">
        <v>1019</v>
      </c>
      <c r="D407" s="11" t="s">
        <v>1425</v>
      </c>
      <c r="E407" s="5" t="s">
        <v>2461</v>
      </c>
      <c r="F407" s="5">
        <v>32</v>
      </c>
      <c r="G407" s="5" t="str" cm="1">
        <f t="array" ref="G407">_xlfn.IFS(F407&lt;12,"Child",F407&lt;18,"Teen",F407&lt;25,"Young",F407&lt;40,"Adult",F407&lt;60,"Middle Age",F407&gt;=60,"Old")</f>
        <v>Adult</v>
      </c>
      <c r="H407" s="5" t="s">
        <v>2044</v>
      </c>
      <c r="I407" s="5" t="s">
        <v>2049</v>
      </c>
      <c r="J407" s="5" t="s">
        <v>2019</v>
      </c>
      <c r="K407" s="5" t="str">
        <f>VLOOKUP(J407,Sheet2!$A$1:$B$11,2,FALSE)</f>
        <v>Formal Wear</v>
      </c>
      <c r="L407" s="5">
        <v>5</v>
      </c>
      <c r="M407" s="6">
        <v>905</v>
      </c>
      <c r="N407" s="6">
        <v>4525</v>
      </c>
      <c r="O407" s="7">
        <v>0.1</v>
      </c>
      <c r="P407" s="8">
        <f t="shared" si="12"/>
        <v>452.5</v>
      </c>
      <c r="Q407" s="9">
        <f t="shared" si="13"/>
        <v>4072.5</v>
      </c>
      <c r="R407" s="5">
        <v>81</v>
      </c>
      <c r="S407" s="5" t="s">
        <v>2034</v>
      </c>
      <c r="T407" s="5" t="s">
        <v>2037</v>
      </c>
    </row>
    <row r="408" spans="1:20" x14ac:dyDescent="0.25">
      <c r="A408" s="5" t="s">
        <v>421</v>
      </c>
      <c r="B408" s="10">
        <v>45634</v>
      </c>
      <c r="C408" s="5" t="s">
        <v>1015</v>
      </c>
      <c r="D408" s="11" t="s">
        <v>1426</v>
      </c>
      <c r="E408" s="5" t="s">
        <v>2462</v>
      </c>
      <c r="F408" s="5">
        <v>18</v>
      </c>
      <c r="G408" s="5" t="str" cm="1">
        <f t="array" ref="G408">_xlfn.IFS(F408&lt;12,"Child",F408&lt;18,"Teen",F408&lt;25,"Young",F408&lt;40,"Adult",F408&lt;60,"Middle Age",F408&gt;=60,"Old")</f>
        <v>Young</v>
      </c>
      <c r="H408" s="5" t="s">
        <v>2044</v>
      </c>
      <c r="I408" s="5" t="s">
        <v>2053</v>
      </c>
      <c r="J408" s="5" t="s">
        <v>2022</v>
      </c>
      <c r="K408" s="5" t="str">
        <f>VLOOKUP(J408,Sheet2!$A$1:$B$11,2,FALSE)</f>
        <v>Sportswear</v>
      </c>
      <c r="L408" s="5">
        <v>4</v>
      </c>
      <c r="M408" s="6">
        <v>498</v>
      </c>
      <c r="N408" s="6">
        <v>1992</v>
      </c>
      <c r="O408" s="7">
        <v>0.1</v>
      </c>
      <c r="P408" s="8">
        <f t="shared" si="12"/>
        <v>199.20000000000002</v>
      </c>
      <c r="Q408" s="9">
        <f t="shared" si="13"/>
        <v>1792.8</v>
      </c>
      <c r="R408" s="5">
        <v>35</v>
      </c>
      <c r="S408" s="5" t="s">
        <v>2034</v>
      </c>
      <c r="T408" s="5" t="s">
        <v>2037</v>
      </c>
    </row>
    <row r="409" spans="1:20" x14ac:dyDescent="0.25">
      <c r="A409" s="5" t="s">
        <v>422</v>
      </c>
      <c r="B409" s="10">
        <v>45603</v>
      </c>
      <c r="C409" s="5" t="s">
        <v>1018</v>
      </c>
      <c r="D409" s="11" t="s">
        <v>1427</v>
      </c>
      <c r="E409" s="5" t="s">
        <v>2463</v>
      </c>
      <c r="F409" s="5">
        <v>47</v>
      </c>
      <c r="G409" s="5" t="str" cm="1">
        <f t="array" ref="G409">_xlfn.IFS(F409&lt;12,"Child",F409&lt;18,"Teen",F409&lt;25,"Young",F409&lt;40,"Adult",F409&lt;60,"Middle Age",F409&gt;=60,"Old")</f>
        <v>Middle Age</v>
      </c>
      <c r="H409" s="5" t="s">
        <v>2043</v>
      </c>
      <c r="I409" s="5" t="s">
        <v>2045</v>
      </c>
      <c r="J409" s="5" t="s">
        <v>2022</v>
      </c>
      <c r="K409" s="5" t="str">
        <f>VLOOKUP(J409,Sheet2!$A$1:$B$11,2,FALSE)</f>
        <v>Sportswear</v>
      </c>
      <c r="L409" s="5">
        <v>1</v>
      </c>
      <c r="M409" s="6">
        <v>308</v>
      </c>
      <c r="N409" s="6">
        <v>308</v>
      </c>
      <c r="O409" s="7">
        <v>0.05</v>
      </c>
      <c r="P409" s="8">
        <f t="shared" si="12"/>
        <v>15.4</v>
      </c>
      <c r="Q409" s="9">
        <f t="shared" si="13"/>
        <v>292.60000000000002</v>
      </c>
      <c r="R409" s="5">
        <v>5</v>
      </c>
      <c r="S409" s="5" t="s">
        <v>2033</v>
      </c>
      <c r="T409" s="5" t="s">
        <v>2037</v>
      </c>
    </row>
    <row r="410" spans="1:20" x14ac:dyDescent="0.25">
      <c r="A410" s="5" t="s">
        <v>423</v>
      </c>
      <c r="B410" s="10">
        <v>45454</v>
      </c>
      <c r="C410" s="5" t="s">
        <v>1019</v>
      </c>
      <c r="D410" s="11" t="s">
        <v>1428</v>
      </c>
      <c r="E410" s="5" t="s">
        <v>2464</v>
      </c>
      <c r="F410" s="5">
        <v>34</v>
      </c>
      <c r="G410" s="5" t="str" cm="1">
        <f t="array" ref="G410">_xlfn.IFS(F410&lt;12,"Child",F410&lt;18,"Teen",F410&lt;25,"Young",F410&lt;40,"Adult",F410&lt;60,"Middle Age",F410&gt;=60,"Old")</f>
        <v>Adult</v>
      </c>
      <c r="H410" s="5" t="s">
        <v>2043</v>
      </c>
      <c r="I410" s="5" t="s">
        <v>2050</v>
      </c>
      <c r="J410" s="5" t="s">
        <v>2021</v>
      </c>
      <c r="K410" s="5" t="str">
        <f>VLOOKUP(J410,Sheet2!$A$1:$B$11,2,FALSE)</f>
        <v>Casual Wear</v>
      </c>
      <c r="L410" s="5">
        <v>2</v>
      </c>
      <c r="M410" s="6">
        <v>1034</v>
      </c>
      <c r="N410" s="6">
        <v>2068</v>
      </c>
      <c r="O410" s="7">
        <v>0</v>
      </c>
      <c r="P410" s="8">
        <f t="shared" si="12"/>
        <v>0</v>
      </c>
      <c r="Q410" s="9">
        <f t="shared" si="13"/>
        <v>2068</v>
      </c>
      <c r="R410" s="5">
        <v>41</v>
      </c>
      <c r="S410" s="5" t="s">
        <v>2033</v>
      </c>
      <c r="T410" s="5" t="s">
        <v>2036</v>
      </c>
    </row>
    <row r="411" spans="1:20" x14ac:dyDescent="0.25">
      <c r="A411" s="5" t="s">
        <v>424</v>
      </c>
      <c r="B411" s="10">
        <v>45498</v>
      </c>
      <c r="C411" s="5" t="s">
        <v>1018</v>
      </c>
      <c r="D411" s="11" t="s">
        <v>1429</v>
      </c>
      <c r="E411" s="5" t="s">
        <v>2465</v>
      </c>
      <c r="F411" s="5">
        <v>31</v>
      </c>
      <c r="G411" s="5" t="str" cm="1">
        <f t="array" ref="G411">_xlfn.IFS(F411&lt;12,"Child",F411&lt;18,"Teen",F411&lt;25,"Young",F411&lt;40,"Adult",F411&lt;60,"Middle Age",F411&gt;=60,"Old")</f>
        <v>Adult</v>
      </c>
      <c r="H411" s="5" t="s">
        <v>2044</v>
      </c>
      <c r="I411" s="5" t="s">
        <v>2050</v>
      </c>
      <c r="J411" s="5" t="s">
        <v>2019</v>
      </c>
      <c r="K411" s="5" t="str">
        <f>VLOOKUP(J411,Sheet2!$A$1:$B$11,2,FALSE)</f>
        <v>Formal Wear</v>
      </c>
      <c r="L411" s="5">
        <v>2</v>
      </c>
      <c r="M411" s="6">
        <v>444</v>
      </c>
      <c r="N411" s="6">
        <v>888</v>
      </c>
      <c r="O411" s="7">
        <v>0</v>
      </c>
      <c r="P411" s="8">
        <f t="shared" si="12"/>
        <v>0</v>
      </c>
      <c r="Q411" s="9">
        <f t="shared" si="13"/>
        <v>888</v>
      </c>
      <c r="R411" s="5">
        <v>17</v>
      </c>
      <c r="S411" s="5" t="s">
        <v>2033</v>
      </c>
      <c r="T411" s="5" t="s">
        <v>2036</v>
      </c>
    </row>
    <row r="412" spans="1:20" x14ac:dyDescent="0.25">
      <c r="A412" s="5" t="s">
        <v>425</v>
      </c>
      <c r="B412" s="10">
        <v>45677</v>
      </c>
      <c r="C412" s="5" t="s">
        <v>1016</v>
      </c>
      <c r="D412" s="11" t="s">
        <v>1430</v>
      </c>
      <c r="E412" s="5" t="s">
        <v>2466</v>
      </c>
      <c r="F412" s="5">
        <v>34</v>
      </c>
      <c r="G412" s="5" t="str" cm="1">
        <f t="array" ref="G412">_xlfn.IFS(F412&lt;12,"Child",F412&lt;18,"Teen",F412&lt;25,"Young",F412&lt;40,"Adult",F412&lt;60,"Middle Age",F412&gt;=60,"Old")</f>
        <v>Adult</v>
      </c>
      <c r="H412" s="5" t="s">
        <v>2044</v>
      </c>
      <c r="I412" s="5" t="s">
        <v>2046</v>
      </c>
      <c r="J412" s="5" t="s">
        <v>2017</v>
      </c>
      <c r="K412" s="5" t="str">
        <f>VLOOKUP(J412,Sheet2!$A$1:$B$11,2,FALSE)</f>
        <v>Casual Wear</v>
      </c>
      <c r="L412" s="5">
        <v>2</v>
      </c>
      <c r="M412" s="6">
        <v>791</v>
      </c>
      <c r="N412" s="6">
        <v>1582</v>
      </c>
      <c r="O412" s="7">
        <v>0.05</v>
      </c>
      <c r="P412" s="8">
        <f t="shared" si="12"/>
        <v>79.100000000000009</v>
      </c>
      <c r="Q412" s="9">
        <f t="shared" si="13"/>
        <v>1502.9</v>
      </c>
      <c r="R412" s="5">
        <v>30</v>
      </c>
      <c r="S412" s="5" t="s">
        <v>2032</v>
      </c>
      <c r="T412" s="5" t="s">
        <v>2037</v>
      </c>
    </row>
    <row r="413" spans="1:20" x14ac:dyDescent="0.25">
      <c r="A413" s="5" t="s">
        <v>426</v>
      </c>
      <c r="B413" s="10">
        <v>45425</v>
      </c>
      <c r="C413" s="5" t="s">
        <v>1016</v>
      </c>
      <c r="D413" s="11" t="s">
        <v>1431</v>
      </c>
      <c r="E413" s="5" t="s">
        <v>2467</v>
      </c>
      <c r="F413" s="5">
        <v>20</v>
      </c>
      <c r="G413" s="5" t="str" cm="1">
        <f t="array" ref="G413">_xlfn.IFS(F413&lt;12,"Child",F413&lt;18,"Teen",F413&lt;25,"Young",F413&lt;40,"Adult",F413&lt;60,"Middle Age",F413&gt;=60,"Old")</f>
        <v>Young</v>
      </c>
      <c r="H413" s="5" t="s">
        <v>2043</v>
      </c>
      <c r="I413" s="5" t="s">
        <v>2050</v>
      </c>
      <c r="J413" s="5" t="s">
        <v>2021</v>
      </c>
      <c r="K413" s="5" t="str">
        <f>VLOOKUP(J413,Sheet2!$A$1:$B$11,2,FALSE)</f>
        <v>Casual Wear</v>
      </c>
      <c r="L413" s="5">
        <v>2</v>
      </c>
      <c r="M413" s="6">
        <v>763</v>
      </c>
      <c r="N413" s="6">
        <v>1526</v>
      </c>
      <c r="O413" s="7">
        <v>0.05</v>
      </c>
      <c r="P413" s="8">
        <f t="shared" si="12"/>
        <v>76.3</v>
      </c>
      <c r="Q413" s="9">
        <f t="shared" si="13"/>
        <v>1449.7</v>
      </c>
      <c r="R413" s="5">
        <v>28</v>
      </c>
      <c r="S413" s="5" t="s">
        <v>2034</v>
      </c>
      <c r="T413" s="5" t="s">
        <v>2036</v>
      </c>
    </row>
    <row r="414" spans="1:20" x14ac:dyDescent="0.25">
      <c r="A414" s="5" t="s">
        <v>427</v>
      </c>
      <c r="B414" s="10">
        <v>45398</v>
      </c>
      <c r="C414" s="5" t="s">
        <v>1019</v>
      </c>
      <c r="D414" s="11" t="s">
        <v>1432</v>
      </c>
      <c r="E414" s="5" t="s">
        <v>2468</v>
      </c>
      <c r="F414" s="5">
        <v>22</v>
      </c>
      <c r="G414" s="5" t="str" cm="1">
        <f t="array" ref="G414">_xlfn.IFS(F414&lt;12,"Child",F414&lt;18,"Teen",F414&lt;25,"Young",F414&lt;40,"Adult",F414&lt;60,"Middle Age",F414&gt;=60,"Old")</f>
        <v>Young</v>
      </c>
      <c r="H414" s="5" t="s">
        <v>2043</v>
      </c>
      <c r="I414" s="5" t="s">
        <v>2045</v>
      </c>
      <c r="J414" s="5" t="s">
        <v>2020</v>
      </c>
      <c r="K414" s="5" t="str">
        <f>VLOOKUP(J414,Sheet2!$A$1:$B$11,2,FALSE)</f>
        <v>Summer Wear</v>
      </c>
      <c r="L414" s="5">
        <v>3</v>
      </c>
      <c r="M414" s="6">
        <v>1049</v>
      </c>
      <c r="N414" s="6">
        <v>3147</v>
      </c>
      <c r="O414" s="7">
        <v>0.05</v>
      </c>
      <c r="P414" s="8">
        <f t="shared" si="12"/>
        <v>157.35000000000002</v>
      </c>
      <c r="Q414" s="9">
        <f t="shared" si="13"/>
        <v>2989.65</v>
      </c>
      <c r="R414" s="5">
        <v>59</v>
      </c>
      <c r="S414" s="5" t="s">
        <v>2034</v>
      </c>
      <c r="T414" s="5" t="s">
        <v>2037</v>
      </c>
    </row>
    <row r="415" spans="1:20" x14ac:dyDescent="0.25">
      <c r="A415" s="5" t="s">
        <v>428</v>
      </c>
      <c r="B415" s="10">
        <v>45477</v>
      </c>
      <c r="C415" s="5" t="s">
        <v>1018</v>
      </c>
      <c r="D415" s="11" t="s">
        <v>1433</v>
      </c>
      <c r="E415" s="5" t="s">
        <v>2469</v>
      </c>
      <c r="F415" s="5">
        <v>59</v>
      </c>
      <c r="G415" s="5" t="str" cm="1">
        <f t="array" ref="G415">_xlfn.IFS(F415&lt;12,"Child",F415&lt;18,"Teen",F415&lt;25,"Young",F415&lt;40,"Adult",F415&lt;60,"Middle Age",F415&gt;=60,"Old")</f>
        <v>Middle Age</v>
      </c>
      <c r="H415" s="5" t="s">
        <v>2043</v>
      </c>
      <c r="I415" s="5" t="s">
        <v>2047</v>
      </c>
      <c r="J415" s="5" t="s">
        <v>2019</v>
      </c>
      <c r="K415" s="5" t="str">
        <f>VLOOKUP(J415,Sheet2!$A$1:$B$11,2,FALSE)</f>
        <v>Formal Wear</v>
      </c>
      <c r="L415" s="5">
        <v>3</v>
      </c>
      <c r="M415" s="6">
        <v>1102</v>
      </c>
      <c r="N415" s="6">
        <v>3306</v>
      </c>
      <c r="O415" s="7">
        <v>0.15</v>
      </c>
      <c r="P415" s="8">
        <f t="shared" si="12"/>
        <v>495.9</v>
      </c>
      <c r="Q415" s="9">
        <f t="shared" si="13"/>
        <v>2810.1</v>
      </c>
      <c r="R415" s="5">
        <v>56</v>
      </c>
      <c r="S415" s="5" t="s">
        <v>2033</v>
      </c>
      <c r="T415" s="5" t="s">
        <v>2035</v>
      </c>
    </row>
    <row r="416" spans="1:20" x14ac:dyDescent="0.25">
      <c r="A416" s="5" t="s">
        <v>429</v>
      </c>
      <c r="B416" s="10">
        <v>45562</v>
      </c>
      <c r="C416" s="5" t="s">
        <v>1014</v>
      </c>
      <c r="D416" s="11" t="s">
        <v>1434</v>
      </c>
      <c r="E416" s="5" t="s">
        <v>2470</v>
      </c>
      <c r="F416" s="5">
        <v>45</v>
      </c>
      <c r="G416" s="5" t="str" cm="1">
        <f t="array" ref="G416">_xlfn.IFS(F416&lt;12,"Child",F416&lt;18,"Teen",F416&lt;25,"Young",F416&lt;40,"Adult",F416&lt;60,"Middle Age",F416&gt;=60,"Old")</f>
        <v>Middle Age</v>
      </c>
      <c r="H416" s="5" t="s">
        <v>2043</v>
      </c>
      <c r="I416" s="5" t="s">
        <v>2052</v>
      </c>
      <c r="J416" s="5" t="s">
        <v>2019</v>
      </c>
      <c r="K416" s="5" t="str">
        <f>VLOOKUP(J416,Sheet2!$A$1:$B$11,2,FALSE)</f>
        <v>Formal Wear</v>
      </c>
      <c r="L416" s="5">
        <v>3</v>
      </c>
      <c r="M416" s="6">
        <v>188</v>
      </c>
      <c r="N416" s="6">
        <v>564</v>
      </c>
      <c r="O416" s="7">
        <v>0</v>
      </c>
      <c r="P416" s="8">
        <f t="shared" si="12"/>
        <v>0</v>
      </c>
      <c r="Q416" s="9">
        <f t="shared" si="13"/>
        <v>564</v>
      </c>
      <c r="R416" s="5">
        <v>11</v>
      </c>
      <c r="S416" s="5" t="s">
        <v>2033</v>
      </c>
      <c r="T416" s="5" t="s">
        <v>2035</v>
      </c>
    </row>
    <row r="417" spans="1:20" x14ac:dyDescent="0.25">
      <c r="A417" s="5" t="s">
        <v>430</v>
      </c>
      <c r="B417" s="10">
        <v>45411</v>
      </c>
      <c r="C417" s="5" t="s">
        <v>1016</v>
      </c>
      <c r="D417" s="11" t="s">
        <v>1435</v>
      </c>
      <c r="E417" s="5" t="s">
        <v>2471</v>
      </c>
      <c r="F417" s="5">
        <v>18</v>
      </c>
      <c r="G417" s="5" t="str" cm="1">
        <f t="array" ref="G417">_xlfn.IFS(F417&lt;12,"Child",F417&lt;18,"Teen",F417&lt;25,"Young",F417&lt;40,"Adult",F417&lt;60,"Middle Age",F417&gt;=60,"Old")</f>
        <v>Young</v>
      </c>
      <c r="H417" s="5" t="s">
        <v>2044</v>
      </c>
      <c r="I417" s="5" t="s">
        <v>2053</v>
      </c>
      <c r="J417" s="5" t="s">
        <v>2017</v>
      </c>
      <c r="K417" s="5" t="str">
        <f>VLOOKUP(J417,Sheet2!$A$1:$B$11,2,FALSE)</f>
        <v>Casual Wear</v>
      </c>
      <c r="L417" s="5">
        <v>3</v>
      </c>
      <c r="M417" s="6">
        <v>542</v>
      </c>
      <c r="N417" s="6">
        <v>1626</v>
      </c>
      <c r="O417" s="7">
        <v>0.1</v>
      </c>
      <c r="P417" s="8">
        <f t="shared" si="12"/>
        <v>162.60000000000002</v>
      </c>
      <c r="Q417" s="9">
        <f t="shared" si="13"/>
        <v>1463.4</v>
      </c>
      <c r="R417" s="5">
        <v>29</v>
      </c>
      <c r="S417" s="5" t="s">
        <v>2032</v>
      </c>
      <c r="T417" s="5" t="s">
        <v>2037</v>
      </c>
    </row>
    <row r="418" spans="1:20" x14ac:dyDescent="0.25">
      <c r="A418" s="5" t="s">
        <v>431</v>
      </c>
      <c r="B418" s="10">
        <v>45535</v>
      </c>
      <c r="C418" s="5" t="s">
        <v>1020</v>
      </c>
      <c r="D418" s="11" t="s">
        <v>1436</v>
      </c>
      <c r="E418" s="5" t="s">
        <v>2472</v>
      </c>
      <c r="F418" s="5">
        <v>38</v>
      </c>
      <c r="G418" s="5" t="str" cm="1">
        <f t="array" ref="G418">_xlfn.IFS(F418&lt;12,"Child",F418&lt;18,"Teen",F418&lt;25,"Young",F418&lt;40,"Adult",F418&lt;60,"Middle Age",F418&gt;=60,"Old")</f>
        <v>Adult</v>
      </c>
      <c r="H418" s="5" t="s">
        <v>2043</v>
      </c>
      <c r="I418" s="5" t="s">
        <v>2047</v>
      </c>
      <c r="J418" s="5" t="s">
        <v>2019</v>
      </c>
      <c r="K418" s="5" t="str">
        <f>VLOOKUP(J418,Sheet2!$A$1:$B$11,2,FALSE)</f>
        <v>Formal Wear</v>
      </c>
      <c r="L418" s="5">
        <v>3</v>
      </c>
      <c r="M418" s="6">
        <v>810</v>
      </c>
      <c r="N418" s="6">
        <v>2430</v>
      </c>
      <c r="O418" s="7">
        <v>0.15</v>
      </c>
      <c r="P418" s="8">
        <f t="shared" si="12"/>
        <v>364.5</v>
      </c>
      <c r="Q418" s="9">
        <f t="shared" si="13"/>
        <v>2065.5</v>
      </c>
      <c r="R418" s="5">
        <v>41</v>
      </c>
      <c r="S418" s="5" t="s">
        <v>2033</v>
      </c>
      <c r="T418" s="5" t="s">
        <v>2037</v>
      </c>
    </row>
    <row r="419" spans="1:20" x14ac:dyDescent="0.25">
      <c r="A419" s="5" t="s">
        <v>432</v>
      </c>
      <c r="B419" s="10">
        <v>45646</v>
      </c>
      <c r="C419" s="5" t="s">
        <v>1014</v>
      </c>
      <c r="D419" s="11" t="s">
        <v>1437</v>
      </c>
      <c r="E419" s="5" t="s">
        <v>2473</v>
      </c>
      <c r="F419" s="5">
        <v>22</v>
      </c>
      <c r="G419" s="5" t="str" cm="1">
        <f t="array" ref="G419">_xlfn.IFS(F419&lt;12,"Child",F419&lt;18,"Teen",F419&lt;25,"Young",F419&lt;40,"Adult",F419&lt;60,"Middle Age",F419&gt;=60,"Old")</f>
        <v>Young</v>
      </c>
      <c r="H419" s="5" t="s">
        <v>2043</v>
      </c>
      <c r="I419" s="5" t="s">
        <v>2047</v>
      </c>
      <c r="J419" s="5" t="s">
        <v>2022</v>
      </c>
      <c r="K419" s="5" t="str">
        <f>VLOOKUP(J419,Sheet2!$A$1:$B$11,2,FALSE)</f>
        <v>Sportswear</v>
      </c>
      <c r="L419" s="5">
        <v>4</v>
      </c>
      <c r="M419" s="6">
        <v>1113</v>
      </c>
      <c r="N419" s="6">
        <v>4452</v>
      </c>
      <c r="O419" s="7">
        <v>0</v>
      </c>
      <c r="P419" s="8">
        <f t="shared" si="12"/>
        <v>0</v>
      </c>
      <c r="Q419" s="9">
        <f t="shared" si="13"/>
        <v>4452</v>
      </c>
      <c r="R419" s="5">
        <v>89</v>
      </c>
      <c r="S419" s="5" t="s">
        <v>2032</v>
      </c>
      <c r="T419" s="5" t="s">
        <v>2036</v>
      </c>
    </row>
    <row r="420" spans="1:20" x14ac:dyDescent="0.25">
      <c r="A420" s="5" t="s">
        <v>433</v>
      </c>
      <c r="B420" s="10">
        <v>45413</v>
      </c>
      <c r="C420" s="5" t="s">
        <v>1017</v>
      </c>
      <c r="D420" s="11" t="s">
        <v>1438</v>
      </c>
      <c r="E420" s="5" t="s">
        <v>2474</v>
      </c>
      <c r="F420" s="5">
        <v>23</v>
      </c>
      <c r="G420" s="5" t="str" cm="1">
        <f t="array" ref="G420">_xlfn.IFS(F420&lt;12,"Child",F420&lt;18,"Teen",F420&lt;25,"Young",F420&lt;40,"Adult",F420&lt;60,"Middle Age",F420&gt;=60,"Old")</f>
        <v>Young</v>
      </c>
      <c r="H420" s="5" t="s">
        <v>2043</v>
      </c>
      <c r="I420" s="5" t="s">
        <v>2049</v>
      </c>
      <c r="J420" s="5" t="s">
        <v>2022</v>
      </c>
      <c r="K420" s="5" t="str">
        <f>VLOOKUP(J420,Sheet2!$A$1:$B$11,2,FALSE)</f>
        <v>Sportswear</v>
      </c>
      <c r="L420" s="5">
        <v>5</v>
      </c>
      <c r="M420" s="6">
        <v>952</v>
      </c>
      <c r="N420" s="6">
        <v>4760</v>
      </c>
      <c r="O420" s="7">
        <v>0.1</v>
      </c>
      <c r="P420" s="8">
        <f t="shared" si="12"/>
        <v>476</v>
      </c>
      <c r="Q420" s="9">
        <f t="shared" si="13"/>
        <v>4284</v>
      </c>
      <c r="R420" s="5">
        <v>85</v>
      </c>
      <c r="S420" s="5" t="s">
        <v>2034</v>
      </c>
      <c r="T420" s="5" t="s">
        <v>2036</v>
      </c>
    </row>
    <row r="421" spans="1:20" x14ac:dyDescent="0.25">
      <c r="A421" s="5" t="s">
        <v>434</v>
      </c>
      <c r="B421" s="10">
        <v>45355</v>
      </c>
      <c r="C421" s="5" t="s">
        <v>1016</v>
      </c>
      <c r="D421" s="11" t="s">
        <v>1439</v>
      </c>
      <c r="E421" s="5" t="s">
        <v>2475</v>
      </c>
      <c r="F421" s="5">
        <v>42</v>
      </c>
      <c r="G421" s="5" t="str" cm="1">
        <f t="array" ref="G421">_xlfn.IFS(F421&lt;12,"Child",F421&lt;18,"Teen",F421&lt;25,"Young",F421&lt;40,"Adult",F421&lt;60,"Middle Age",F421&gt;=60,"Old")</f>
        <v>Middle Age</v>
      </c>
      <c r="H421" s="5" t="s">
        <v>2044</v>
      </c>
      <c r="I421" s="5" t="s">
        <v>2047</v>
      </c>
      <c r="J421" s="5" t="s">
        <v>2020</v>
      </c>
      <c r="K421" s="5" t="str">
        <f>VLOOKUP(J421,Sheet2!$A$1:$B$11,2,FALSE)</f>
        <v>Summer Wear</v>
      </c>
      <c r="L421" s="5">
        <v>3</v>
      </c>
      <c r="M421" s="6">
        <v>1036</v>
      </c>
      <c r="N421" s="6">
        <v>3108</v>
      </c>
      <c r="O421" s="7">
        <v>0.15</v>
      </c>
      <c r="P421" s="8">
        <f t="shared" si="12"/>
        <v>466.2</v>
      </c>
      <c r="Q421" s="9">
        <f t="shared" si="13"/>
        <v>2641.8</v>
      </c>
      <c r="R421" s="5">
        <v>52</v>
      </c>
      <c r="S421" s="5" t="s">
        <v>2034</v>
      </c>
      <c r="T421" s="5" t="s">
        <v>2036</v>
      </c>
    </row>
    <row r="422" spans="1:20" x14ac:dyDescent="0.25">
      <c r="A422" s="5" t="s">
        <v>435</v>
      </c>
      <c r="B422" s="10">
        <v>45592</v>
      </c>
      <c r="C422" s="5" t="s">
        <v>1015</v>
      </c>
      <c r="D422" s="11" t="s">
        <v>1440</v>
      </c>
      <c r="E422" s="5" t="s">
        <v>2476</v>
      </c>
      <c r="F422" s="5">
        <v>41</v>
      </c>
      <c r="G422" s="5" t="str" cm="1">
        <f t="array" ref="G422">_xlfn.IFS(F422&lt;12,"Child",F422&lt;18,"Teen",F422&lt;25,"Young",F422&lt;40,"Adult",F422&lt;60,"Middle Age",F422&gt;=60,"Old")</f>
        <v>Middle Age</v>
      </c>
      <c r="H422" s="5" t="s">
        <v>2043</v>
      </c>
      <c r="I422" s="5" t="s">
        <v>2045</v>
      </c>
      <c r="J422" s="5" t="s">
        <v>2022</v>
      </c>
      <c r="K422" s="5" t="str">
        <f>VLOOKUP(J422,Sheet2!$A$1:$B$11,2,FALSE)</f>
        <v>Sportswear</v>
      </c>
      <c r="L422" s="5">
        <v>1</v>
      </c>
      <c r="M422" s="6">
        <v>817</v>
      </c>
      <c r="N422" s="6">
        <v>817</v>
      </c>
      <c r="O422" s="7">
        <v>0.1</v>
      </c>
      <c r="P422" s="8">
        <f t="shared" si="12"/>
        <v>81.7</v>
      </c>
      <c r="Q422" s="9">
        <f t="shared" si="13"/>
        <v>735.3</v>
      </c>
      <c r="R422" s="5">
        <v>14</v>
      </c>
      <c r="S422" s="5" t="s">
        <v>2033</v>
      </c>
      <c r="T422" s="5" t="s">
        <v>2037</v>
      </c>
    </row>
    <row r="423" spans="1:20" x14ac:dyDescent="0.25">
      <c r="A423" s="5" t="s">
        <v>436</v>
      </c>
      <c r="B423" s="10">
        <v>45512</v>
      </c>
      <c r="C423" s="5" t="s">
        <v>1018</v>
      </c>
      <c r="D423" s="11" t="s">
        <v>1441</v>
      </c>
      <c r="E423" s="5" t="s">
        <v>2477</v>
      </c>
      <c r="F423" s="5">
        <v>36</v>
      </c>
      <c r="G423" s="5" t="str" cm="1">
        <f t="array" ref="G423">_xlfn.IFS(F423&lt;12,"Child",F423&lt;18,"Teen",F423&lt;25,"Young",F423&lt;40,"Adult",F423&lt;60,"Middle Age",F423&gt;=60,"Old")</f>
        <v>Adult</v>
      </c>
      <c r="H423" s="5" t="s">
        <v>2044</v>
      </c>
      <c r="I423" s="5" t="s">
        <v>2051</v>
      </c>
      <c r="J423" s="5" t="s">
        <v>2024</v>
      </c>
      <c r="K423" s="5" t="str">
        <f>VLOOKUP(J423,Sheet2!$A$1:$B$11,2,FALSE)</f>
        <v>Fashion Accessories</v>
      </c>
      <c r="L423" s="5">
        <v>3</v>
      </c>
      <c r="M423" s="6">
        <v>1142</v>
      </c>
      <c r="N423" s="6">
        <v>3426</v>
      </c>
      <c r="O423" s="7">
        <v>0.15</v>
      </c>
      <c r="P423" s="8">
        <f t="shared" si="12"/>
        <v>513.9</v>
      </c>
      <c r="Q423" s="9">
        <f t="shared" si="13"/>
        <v>2912.1</v>
      </c>
      <c r="R423" s="5">
        <v>58</v>
      </c>
      <c r="S423" s="5" t="s">
        <v>2032</v>
      </c>
      <c r="T423" s="5" t="s">
        <v>2036</v>
      </c>
    </row>
    <row r="424" spans="1:20" x14ac:dyDescent="0.25">
      <c r="A424" s="5" t="s">
        <v>437</v>
      </c>
      <c r="B424" s="10">
        <v>45697</v>
      </c>
      <c r="C424" s="5" t="s">
        <v>1015</v>
      </c>
      <c r="D424" s="11" t="s">
        <v>1442</v>
      </c>
      <c r="E424" s="5" t="s">
        <v>2478</v>
      </c>
      <c r="F424" s="5">
        <v>32</v>
      </c>
      <c r="G424" s="5" t="str" cm="1">
        <f t="array" ref="G424">_xlfn.IFS(F424&lt;12,"Child",F424&lt;18,"Teen",F424&lt;25,"Young",F424&lt;40,"Adult",F424&lt;60,"Middle Age",F424&gt;=60,"Old")</f>
        <v>Adult</v>
      </c>
      <c r="H424" s="5" t="s">
        <v>2044</v>
      </c>
      <c r="I424" s="5" t="s">
        <v>2045</v>
      </c>
      <c r="J424" s="5" t="s">
        <v>2023</v>
      </c>
      <c r="K424" s="5" t="str">
        <f>VLOOKUP(J424,Sheet2!$A$1:$B$11,2,FALSE)</f>
        <v>Formal Wear</v>
      </c>
      <c r="L424" s="5">
        <v>5</v>
      </c>
      <c r="M424" s="6">
        <v>689</v>
      </c>
      <c r="N424" s="6">
        <v>3445</v>
      </c>
      <c r="O424" s="7">
        <v>0.1</v>
      </c>
      <c r="P424" s="8">
        <f t="shared" si="12"/>
        <v>344.5</v>
      </c>
      <c r="Q424" s="9">
        <f t="shared" si="13"/>
        <v>3100.5</v>
      </c>
      <c r="R424" s="5">
        <v>62</v>
      </c>
      <c r="S424" s="5" t="s">
        <v>2032</v>
      </c>
      <c r="T424" s="5" t="s">
        <v>2036</v>
      </c>
    </row>
    <row r="425" spans="1:20" x14ac:dyDescent="0.25">
      <c r="A425" s="5" t="s">
        <v>438</v>
      </c>
      <c r="B425" s="10">
        <v>45471</v>
      </c>
      <c r="C425" s="5" t="s">
        <v>1014</v>
      </c>
      <c r="D425" s="11" t="s">
        <v>1443</v>
      </c>
      <c r="E425" s="5" t="s">
        <v>2479</v>
      </c>
      <c r="F425" s="5">
        <v>56</v>
      </c>
      <c r="G425" s="5" t="str" cm="1">
        <f t="array" ref="G425">_xlfn.IFS(F425&lt;12,"Child",F425&lt;18,"Teen",F425&lt;25,"Young",F425&lt;40,"Adult",F425&lt;60,"Middle Age",F425&gt;=60,"Old")</f>
        <v>Middle Age</v>
      </c>
      <c r="H425" s="5" t="s">
        <v>2043</v>
      </c>
      <c r="I425" s="5" t="s">
        <v>2050</v>
      </c>
      <c r="J425" s="5" t="s">
        <v>2019</v>
      </c>
      <c r="K425" s="5" t="str">
        <f>VLOOKUP(J425,Sheet2!$A$1:$B$11,2,FALSE)</f>
        <v>Formal Wear</v>
      </c>
      <c r="L425" s="5">
        <v>4</v>
      </c>
      <c r="M425" s="6">
        <v>708</v>
      </c>
      <c r="N425" s="6">
        <v>2832</v>
      </c>
      <c r="O425" s="7">
        <v>0.05</v>
      </c>
      <c r="P425" s="8">
        <f t="shared" si="12"/>
        <v>141.6</v>
      </c>
      <c r="Q425" s="9">
        <f t="shared" si="13"/>
        <v>2690.4</v>
      </c>
      <c r="R425" s="5">
        <v>53</v>
      </c>
      <c r="S425" s="5" t="s">
        <v>2033</v>
      </c>
      <c r="T425" s="5" t="s">
        <v>2037</v>
      </c>
    </row>
    <row r="426" spans="1:20" x14ac:dyDescent="0.25">
      <c r="A426" s="5" t="s">
        <v>439</v>
      </c>
      <c r="B426" s="10">
        <v>45481</v>
      </c>
      <c r="C426" s="5" t="s">
        <v>1016</v>
      </c>
      <c r="D426" s="11" t="s">
        <v>1444</v>
      </c>
      <c r="E426" s="5" t="s">
        <v>2480</v>
      </c>
      <c r="F426" s="5">
        <v>41</v>
      </c>
      <c r="G426" s="5" t="str" cm="1">
        <f t="array" ref="G426">_xlfn.IFS(F426&lt;12,"Child",F426&lt;18,"Teen",F426&lt;25,"Young",F426&lt;40,"Adult",F426&lt;60,"Middle Age",F426&gt;=60,"Old")</f>
        <v>Middle Age</v>
      </c>
      <c r="H426" s="5" t="s">
        <v>2043</v>
      </c>
      <c r="I426" s="5" t="s">
        <v>2015</v>
      </c>
      <c r="J426" s="5" t="s">
        <v>2019</v>
      </c>
      <c r="K426" s="5" t="str">
        <f>VLOOKUP(J426,Sheet2!$A$1:$B$11,2,FALSE)</f>
        <v>Formal Wear</v>
      </c>
      <c r="L426" s="5">
        <v>2</v>
      </c>
      <c r="M426" s="6">
        <v>266</v>
      </c>
      <c r="N426" s="6">
        <v>532</v>
      </c>
      <c r="O426" s="7">
        <v>0</v>
      </c>
      <c r="P426" s="8">
        <f t="shared" si="12"/>
        <v>0</v>
      </c>
      <c r="Q426" s="9">
        <f t="shared" si="13"/>
        <v>532</v>
      </c>
      <c r="R426" s="5">
        <v>10</v>
      </c>
      <c r="S426" s="5" t="s">
        <v>2032</v>
      </c>
      <c r="T426" s="5" t="s">
        <v>2036</v>
      </c>
    </row>
    <row r="427" spans="1:20" x14ac:dyDescent="0.25">
      <c r="A427" s="5" t="s">
        <v>440</v>
      </c>
      <c r="B427" s="10">
        <v>45587</v>
      </c>
      <c r="C427" s="5" t="s">
        <v>1019</v>
      </c>
      <c r="D427" s="11" t="s">
        <v>1445</v>
      </c>
      <c r="E427" s="5" t="s">
        <v>2481</v>
      </c>
      <c r="F427" s="5">
        <v>48</v>
      </c>
      <c r="G427" s="5" t="str" cm="1">
        <f t="array" ref="G427">_xlfn.IFS(F427&lt;12,"Child",F427&lt;18,"Teen",F427&lt;25,"Young",F427&lt;40,"Adult",F427&lt;60,"Middle Age",F427&gt;=60,"Old")</f>
        <v>Middle Age</v>
      </c>
      <c r="H427" s="5" t="s">
        <v>2043</v>
      </c>
      <c r="I427" s="5" t="s">
        <v>2047</v>
      </c>
      <c r="J427" s="5" t="s">
        <v>2024</v>
      </c>
      <c r="K427" s="5" t="str">
        <f>VLOOKUP(J427,Sheet2!$A$1:$B$11,2,FALSE)</f>
        <v>Fashion Accessories</v>
      </c>
      <c r="L427" s="5">
        <v>5</v>
      </c>
      <c r="M427" s="6">
        <v>613</v>
      </c>
      <c r="N427" s="6">
        <v>3065</v>
      </c>
      <c r="O427" s="7">
        <v>0</v>
      </c>
      <c r="P427" s="8">
        <f t="shared" si="12"/>
        <v>0</v>
      </c>
      <c r="Q427" s="9">
        <f t="shared" si="13"/>
        <v>3065</v>
      </c>
      <c r="R427" s="5">
        <v>61</v>
      </c>
      <c r="S427" s="5" t="s">
        <v>2034</v>
      </c>
      <c r="T427" s="5" t="s">
        <v>2037</v>
      </c>
    </row>
    <row r="428" spans="1:20" x14ac:dyDescent="0.25">
      <c r="A428" s="5" t="s">
        <v>441</v>
      </c>
      <c r="B428" s="10">
        <v>45496</v>
      </c>
      <c r="C428" s="5" t="s">
        <v>1019</v>
      </c>
      <c r="D428" s="11" t="s">
        <v>1446</v>
      </c>
      <c r="E428" s="5" t="s">
        <v>2482</v>
      </c>
      <c r="F428" s="5">
        <v>28</v>
      </c>
      <c r="G428" s="5" t="str" cm="1">
        <f t="array" ref="G428">_xlfn.IFS(F428&lt;12,"Child",F428&lt;18,"Teen",F428&lt;25,"Young",F428&lt;40,"Adult",F428&lt;60,"Middle Age",F428&gt;=60,"Old")</f>
        <v>Adult</v>
      </c>
      <c r="H428" s="5" t="s">
        <v>2044</v>
      </c>
      <c r="I428" s="5" t="s">
        <v>2052</v>
      </c>
      <c r="J428" s="5" t="s">
        <v>2019</v>
      </c>
      <c r="K428" s="5" t="str">
        <f>VLOOKUP(J428,Sheet2!$A$1:$B$11,2,FALSE)</f>
        <v>Formal Wear</v>
      </c>
      <c r="L428" s="5">
        <v>5</v>
      </c>
      <c r="M428" s="6">
        <v>1119</v>
      </c>
      <c r="N428" s="6">
        <v>5595</v>
      </c>
      <c r="O428" s="7">
        <v>0.2</v>
      </c>
      <c r="P428" s="8">
        <f t="shared" si="12"/>
        <v>1119</v>
      </c>
      <c r="Q428" s="9">
        <f t="shared" si="13"/>
        <v>4476</v>
      </c>
      <c r="R428" s="5">
        <v>89</v>
      </c>
      <c r="S428" s="5" t="s">
        <v>2033</v>
      </c>
      <c r="T428" s="5" t="s">
        <v>2037</v>
      </c>
    </row>
    <row r="429" spans="1:20" x14ac:dyDescent="0.25">
      <c r="A429" s="5" t="s">
        <v>442</v>
      </c>
      <c r="B429" s="10">
        <v>45611</v>
      </c>
      <c r="C429" s="5" t="s">
        <v>1014</v>
      </c>
      <c r="D429" s="11" t="s">
        <v>1447</v>
      </c>
      <c r="E429" s="5" t="s">
        <v>2483</v>
      </c>
      <c r="F429" s="5">
        <v>23</v>
      </c>
      <c r="G429" s="5" t="str" cm="1">
        <f t="array" ref="G429">_xlfn.IFS(F429&lt;12,"Child",F429&lt;18,"Teen",F429&lt;25,"Young",F429&lt;40,"Adult",F429&lt;60,"Middle Age",F429&gt;=60,"Old")</f>
        <v>Young</v>
      </c>
      <c r="H429" s="5" t="s">
        <v>2043</v>
      </c>
      <c r="I429" s="5" t="s">
        <v>2050</v>
      </c>
      <c r="J429" s="5" t="s">
        <v>2018</v>
      </c>
      <c r="K429" s="5" t="str">
        <f>VLOOKUP(J429,Sheet2!$A$1:$B$11,2,FALSE)</f>
        <v>Sportswear</v>
      </c>
      <c r="L429" s="5">
        <v>1</v>
      </c>
      <c r="M429" s="6">
        <v>943</v>
      </c>
      <c r="N429" s="6">
        <v>943</v>
      </c>
      <c r="O429" s="7">
        <v>0.05</v>
      </c>
      <c r="P429" s="8">
        <f t="shared" si="12"/>
        <v>47.150000000000006</v>
      </c>
      <c r="Q429" s="9">
        <f t="shared" si="13"/>
        <v>895.85</v>
      </c>
      <c r="R429" s="5">
        <v>17</v>
      </c>
      <c r="S429" s="5" t="s">
        <v>2034</v>
      </c>
      <c r="T429" s="5" t="s">
        <v>2036</v>
      </c>
    </row>
    <row r="430" spans="1:20" x14ac:dyDescent="0.25">
      <c r="A430" s="5" t="s">
        <v>443</v>
      </c>
      <c r="B430" s="10">
        <v>45429</v>
      </c>
      <c r="C430" s="5" t="s">
        <v>1014</v>
      </c>
      <c r="D430" s="11" t="s">
        <v>1448</v>
      </c>
      <c r="E430" s="5" t="s">
        <v>2484</v>
      </c>
      <c r="F430" s="5">
        <v>22</v>
      </c>
      <c r="G430" s="5" t="str" cm="1">
        <f t="array" ref="G430">_xlfn.IFS(F430&lt;12,"Child",F430&lt;18,"Teen",F430&lt;25,"Young",F430&lt;40,"Adult",F430&lt;60,"Middle Age",F430&gt;=60,"Old")</f>
        <v>Young</v>
      </c>
      <c r="H430" s="5" t="s">
        <v>2044</v>
      </c>
      <c r="I430" s="5" t="s">
        <v>2053</v>
      </c>
      <c r="J430" s="5" t="s">
        <v>2017</v>
      </c>
      <c r="K430" s="5" t="str">
        <f>VLOOKUP(J430,Sheet2!$A$1:$B$11,2,FALSE)</f>
        <v>Casual Wear</v>
      </c>
      <c r="L430" s="5">
        <v>4</v>
      </c>
      <c r="M430" s="6">
        <v>912</v>
      </c>
      <c r="N430" s="6">
        <v>3648</v>
      </c>
      <c r="O430" s="7">
        <v>0.2</v>
      </c>
      <c r="P430" s="8">
        <f t="shared" si="12"/>
        <v>729.6</v>
      </c>
      <c r="Q430" s="9">
        <f t="shared" si="13"/>
        <v>2918.4</v>
      </c>
      <c r="R430" s="5">
        <v>58</v>
      </c>
      <c r="S430" s="5" t="s">
        <v>2032</v>
      </c>
      <c r="T430" s="5" t="s">
        <v>2037</v>
      </c>
    </row>
    <row r="431" spans="1:20" x14ac:dyDescent="0.25">
      <c r="A431" s="5" t="s">
        <v>444</v>
      </c>
      <c r="B431" s="10">
        <v>45616</v>
      </c>
      <c r="C431" s="5" t="s">
        <v>1017</v>
      </c>
      <c r="D431" s="11" t="s">
        <v>1449</v>
      </c>
      <c r="E431" s="5" t="s">
        <v>2485</v>
      </c>
      <c r="F431" s="5">
        <v>60</v>
      </c>
      <c r="G431" s="5" t="str" cm="1">
        <f t="array" ref="G431">_xlfn.IFS(F431&lt;12,"Child",F431&lt;18,"Teen",F431&lt;25,"Young",F431&lt;40,"Adult",F431&lt;60,"Middle Age",F431&gt;=60,"Old")</f>
        <v>Old</v>
      </c>
      <c r="H431" s="5" t="s">
        <v>2044</v>
      </c>
      <c r="I431" s="5" t="s">
        <v>2048</v>
      </c>
      <c r="J431" s="5" t="s">
        <v>2023</v>
      </c>
      <c r="K431" s="5" t="str">
        <f>VLOOKUP(J431,Sheet2!$A$1:$B$11,2,FALSE)</f>
        <v>Formal Wear</v>
      </c>
      <c r="L431" s="5">
        <v>2</v>
      </c>
      <c r="M431" s="6">
        <v>1021</v>
      </c>
      <c r="N431" s="6">
        <v>2042</v>
      </c>
      <c r="O431" s="7">
        <v>0.1</v>
      </c>
      <c r="P431" s="8">
        <f t="shared" si="12"/>
        <v>204.20000000000002</v>
      </c>
      <c r="Q431" s="9">
        <f t="shared" si="13"/>
        <v>1837.8</v>
      </c>
      <c r="R431" s="5">
        <v>36</v>
      </c>
      <c r="S431" s="5" t="s">
        <v>2034</v>
      </c>
      <c r="T431" s="5" t="s">
        <v>2036</v>
      </c>
    </row>
    <row r="432" spans="1:20" x14ac:dyDescent="0.25">
      <c r="A432" s="5" t="s">
        <v>445</v>
      </c>
      <c r="B432" s="10">
        <v>45694</v>
      </c>
      <c r="C432" s="5" t="s">
        <v>1018</v>
      </c>
      <c r="D432" s="11" t="s">
        <v>1450</v>
      </c>
      <c r="E432" s="5" t="s">
        <v>2486</v>
      </c>
      <c r="F432" s="5">
        <v>42</v>
      </c>
      <c r="G432" s="5" t="str" cm="1">
        <f t="array" ref="G432">_xlfn.IFS(F432&lt;12,"Child",F432&lt;18,"Teen",F432&lt;25,"Young",F432&lt;40,"Adult",F432&lt;60,"Middle Age",F432&gt;=60,"Old")</f>
        <v>Middle Age</v>
      </c>
      <c r="H432" s="5" t="s">
        <v>2043</v>
      </c>
      <c r="I432" s="5" t="s">
        <v>2048</v>
      </c>
      <c r="J432" s="5" t="s">
        <v>2021</v>
      </c>
      <c r="K432" s="5" t="str">
        <f>VLOOKUP(J432,Sheet2!$A$1:$B$11,2,FALSE)</f>
        <v>Casual Wear</v>
      </c>
      <c r="L432" s="5">
        <v>3</v>
      </c>
      <c r="M432" s="6">
        <v>926</v>
      </c>
      <c r="N432" s="6">
        <v>2778</v>
      </c>
      <c r="O432" s="7">
        <v>0.1</v>
      </c>
      <c r="P432" s="8">
        <f t="shared" si="12"/>
        <v>277.8</v>
      </c>
      <c r="Q432" s="9">
        <f t="shared" si="13"/>
        <v>2500.1999999999998</v>
      </c>
      <c r="R432" s="5">
        <v>50</v>
      </c>
      <c r="S432" s="5" t="s">
        <v>2034</v>
      </c>
      <c r="T432" s="5" t="s">
        <v>2035</v>
      </c>
    </row>
    <row r="433" spans="1:20" x14ac:dyDescent="0.25">
      <c r="A433" s="5" t="s">
        <v>446</v>
      </c>
      <c r="B433" s="10">
        <v>45613</v>
      </c>
      <c r="C433" s="5" t="s">
        <v>1015</v>
      </c>
      <c r="D433" s="11" t="s">
        <v>1451</v>
      </c>
      <c r="E433" s="5" t="s">
        <v>2487</v>
      </c>
      <c r="F433" s="5">
        <v>38</v>
      </c>
      <c r="G433" s="5" t="str" cm="1">
        <f t="array" ref="G433">_xlfn.IFS(F433&lt;12,"Child",F433&lt;18,"Teen",F433&lt;25,"Young",F433&lt;40,"Adult",F433&lt;60,"Middle Age",F433&gt;=60,"Old")</f>
        <v>Adult</v>
      </c>
      <c r="H433" s="5" t="s">
        <v>2044</v>
      </c>
      <c r="I433" s="5" t="s">
        <v>2052</v>
      </c>
      <c r="J433" s="5" t="s">
        <v>2020</v>
      </c>
      <c r="K433" s="5" t="str">
        <f>VLOOKUP(J433,Sheet2!$A$1:$B$11,2,FALSE)</f>
        <v>Summer Wear</v>
      </c>
      <c r="L433" s="5">
        <v>2</v>
      </c>
      <c r="M433" s="6">
        <v>673</v>
      </c>
      <c r="N433" s="6">
        <v>1346</v>
      </c>
      <c r="O433" s="7">
        <v>0</v>
      </c>
      <c r="P433" s="8">
        <f t="shared" si="12"/>
        <v>0</v>
      </c>
      <c r="Q433" s="9">
        <f t="shared" si="13"/>
        <v>1346</v>
      </c>
      <c r="R433" s="5">
        <v>26</v>
      </c>
      <c r="S433" s="5" t="s">
        <v>2033</v>
      </c>
      <c r="T433" s="5" t="s">
        <v>2035</v>
      </c>
    </row>
    <row r="434" spans="1:20" x14ac:dyDescent="0.25">
      <c r="A434" s="5" t="s">
        <v>447</v>
      </c>
      <c r="B434" s="10">
        <v>45456</v>
      </c>
      <c r="C434" s="5" t="s">
        <v>1018</v>
      </c>
      <c r="D434" s="11" t="s">
        <v>1452</v>
      </c>
      <c r="E434" s="5" t="s">
        <v>2488</v>
      </c>
      <c r="F434" s="5">
        <v>48</v>
      </c>
      <c r="G434" s="5" t="str" cm="1">
        <f t="array" ref="G434">_xlfn.IFS(F434&lt;12,"Child",F434&lt;18,"Teen",F434&lt;25,"Young",F434&lt;40,"Adult",F434&lt;60,"Middle Age",F434&gt;=60,"Old")</f>
        <v>Middle Age</v>
      </c>
      <c r="H434" s="5" t="s">
        <v>2043</v>
      </c>
      <c r="I434" s="5" t="s">
        <v>2053</v>
      </c>
      <c r="J434" s="5" t="s">
        <v>2017</v>
      </c>
      <c r="K434" s="5" t="str">
        <f>VLOOKUP(J434,Sheet2!$A$1:$B$11,2,FALSE)</f>
        <v>Casual Wear</v>
      </c>
      <c r="L434" s="5">
        <v>5</v>
      </c>
      <c r="M434" s="6">
        <v>818</v>
      </c>
      <c r="N434" s="6">
        <v>4090</v>
      </c>
      <c r="O434" s="7">
        <v>0</v>
      </c>
      <c r="P434" s="8">
        <f t="shared" si="12"/>
        <v>0</v>
      </c>
      <c r="Q434" s="9">
        <f t="shared" si="13"/>
        <v>4090</v>
      </c>
      <c r="R434" s="5">
        <v>81</v>
      </c>
      <c r="S434" s="5" t="s">
        <v>2033</v>
      </c>
      <c r="T434" s="5" t="s">
        <v>2037</v>
      </c>
    </row>
    <row r="435" spans="1:20" x14ac:dyDescent="0.25">
      <c r="A435" s="5" t="s">
        <v>448</v>
      </c>
      <c r="B435" s="10">
        <v>45492</v>
      </c>
      <c r="C435" s="5" t="s">
        <v>1014</v>
      </c>
      <c r="D435" s="11" t="s">
        <v>1453</v>
      </c>
      <c r="E435" s="5" t="s">
        <v>2489</v>
      </c>
      <c r="F435" s="5">
        <v>43</v>
      </c>
      <c r="G435" s="5" t="str" cm="1">
        <f t="array" ref="G435">_xlfn.IFS(F435&lt;12,"Child",F435&lt;18,"Teen",F435&lt;25,"Young",F435&lt;40,"Adult",F435&lt;60,"Middle Age",F435&gt;=60,"Old")</f>
        <v>Middle Age</v>
      </c>
      <c r="H435" s="5" t="s">
        <v>2043</v>
      </c>
      <c r="I435" s="5" t="s">
        <v>2015</v>
      </c>
      <c r="J435" s="5" t="s">
        <v>2023</v>
      </c>
      <c r="K435" s="5" t="str">
        <f>VLOOKUP(J435,Sheet2!$A$1:$B$11,2,FALSE)</f>
        <v>Formal Wear</v>
      </c>
      <c r="L435" s="5">
        <v>5</v>
      </c>
      <c r="M435" s="6">
        <v>903</v>
      </c>
      <c r="N435" s="6">
        <v>4515</v>
      </c>
      <c r="O435" s="7">
        <v>0</v>
      </c>
      <c r="P435" s="8">
        <f t="shared" si="12"/>
        <v>0</v>
      </c>
      <c r="Q435" s="9">
        <f t="shared" si="13"/>
        <v>4515</v>
      </c>
      <c r="R435" s="5">
        <v>90</v>
      </c>
      <c r="S435" s="5" t="s">
        <v>2032</v>
      </c>
      <c r="T435" s="5" t="s">
        <v>2035</v>
      </c>
    </row>
    <row r="436" spans="1:20" x14ac:dyDescent="0.25">
      <c r="A436" s="5" t="s">
        <v>449</v>
      </c>
      <c r="B436" s="10">
        <v>45700</v>
      </c>
      <c r="C436" s="5" t="s">
        <v>1017</v>
      </c>
      <c r="D436" s="11" t="s">
        <v>1454</v>
      </c>
      <c r="E436" s="5" t="s">
        <v>2490</v>
      </c>
      <c r="F436" s="5">
        <v>49</v>
      </c>
      <c r="G436" s="5" t="str" cm="1">
        <f t="array" ref="G436">_xlfn.IFS(F436&lt;12,"Child",F436&lt;18,"Teen",F436&lt;25,"Young",F436&lt;40,"Adult",F436&lt;60,"Middle Age",F436&gt;=60,"Old")</f>
        <v>Middle Age</v>
      </c>
      <c r="H436" s="5" t="s">
        <v>2043</v>
      </c>
      <c r="I436" s="5" t="s">
        <v>2045</v>
      </c>
      <c r="J436" s="5" t="s">
        <v>2019</v>
      </c>
      <c r="K436" s="5" t="str">
        <f>VLOOKUP(J436,Sheet2!$A$1:$B$11,2,FALSE)</f>
        <v>Formal Wear</v>
      </c>
      <c r="L436" s="5">
        <v>4</v>
      </c>
      <c r="M436" s="6">
        <v>693</v>
      </c>
      <c r="N436" s="6">
        <v>2772</v>
      </c>
      <c r="O436" s="7">
        <v>0.15</v>
      </c>
      <c r="P436" s="8">
        <f t="shared" si="12"/>
        <v>415.8</v>
      </c>
      <c r="Q436" s="9">
        <f t="shared" si="13"/>
        <v>2356.1999999999998</v>
      </c>
      <c r="R436" s="5">
        <v>47</v>
      </c>
      <c r="S436" s="5" t="s">
        <v>2034</v>
      </c>
      <c r="T436" s="5" t="s">
        <v>2035</v>
      </c>
    </row>
    <row r="437" spans="1:20" x14ac:dyDescent="0.25">
      <c r="A437" s="5" t="s">
        <v>450</v>
      </c>
      <c r="B437" s="10">
        <v>45576</v>
      </c>
      <c r="C437" s="5" t="s">
        <v>1014</v>
      </c>
      <c r="D437" s="11" t="s">
        <v>1455</v>
      </c>
      <c r="E437" s="5" t="s">
        <v>2491</v>
      </c>
      <c r="F437" s="5">
        <v>37</v>
      </c>
      <c r="G437" s="5" t="str" cm="1">
        <f t="array" ref="G437">_xlfn.IFS(F437&lt;12,"Child",F437&lt;18,"Teen",F437&lt;25,"Young",F437&lt;40,"Adult",F437&lt;60,"Middle Age",F437&gt;=60,"Old")</f>
        <v>Adult</v>
      </c>
      <c r="H437" s="5" t="s">
        <v>2043</v>
      </c>
      <c r="I437" s="5" t="s">
        <v>2015</v>
      </c>
      <c r="J437" s="5" t="s">
        <v>2017</v>
      </c>
      <c r="K437" s="5" t="str">
        <f>VLOOKUP(J437,Sheet2!$A$1:$B$11,2,FALSE)</f>
        <v>Casual Wear</v>
      </c>
      <c r="L437" s="5">
        <v>2</v>
      </c>
      <c r="M437" s="6">
        <v>720</v>
      </c>
      <c r="N437" s="6">
        <v>1440</v>
      </c>
      <c r="O437" s="7">
        <v>0.15</v>
      </c>
      <c r="P437" s="8">
        <f t="shared" si="12"/>
        <v>216</v>
      </c>
      <c r="Q437" s="9">
        <f t="shared" si="13"/>
        <v>1224</v>
      </c>
      <c r="R437" s="5">
        <v>24</v>
      </c>
      <c r="S437" s="5" t="s">
        <v>2032</v>
      </c>
      <c r="T437" s="5" t="s">
        <v>2037</v>
      </c>
    </row>
    <row r="438" spans="1:20" x14ac:dyDescent="0.25">
      <c r="A438" s="5" t="s">
        <v>451</v>
      </c>
      <c r="B438" s="10">
        <v>45630</v>
      </c>
      <c r="C438" s="5" t="s">
        <v>1017</v>
      </c>
      <c r="D438" s="11" t="s">
        <v>1456</v>
      </c>
      <c r="E438" s="5" t="s">
        <v>2492</v>
      </c>
      <c r="F438" s="5">
        <v>43</v>
      </c>
      <c r="G438" s="5" t="str" cm="1">
        <f t="array" ref="G438">_xlfn.IFS(F438&lt;12,"Child",F438&lt;18,"Teen",F438&lt;25,"Young",F438&lt;40,"Adult",F438&lt;60,"Middle Age",F438&gt;=60,"Old")</f>
        <v>Middle Age</v>
      </c>
      <c r="H438" s="5" t="s">
        <v>2043</v>
      </c>
      <c r="I438" s="5" t="s">
        <v>2050</v>
      </c>
      <c r="J438" s="5" t="s">
        <v>2024</v>
      </c>
      <c r="K438" s="5" t="str">
        <f>VLOOKUP(J438,Sheet2!$A$1:$B$11,2,FALSE)</f>
        <v>Fashion Accessories</v>
      </c>
      <c r="L438" s="5">
        <v>5</v>
      </c>
      <c r="M438" s="6">
        <v>649</v>
      </c>
      <c r="N438" s="6">
        <v>3245</v>
      </c>
      <c r="O438" s="7">
        <v>0.05</v>
      </c>
      <c r="P438" s="8">
        <f t="shared" si="12"/>
        <v>162.25</v>
      </c>
      <c r="Q438" s="9">
        <f t="shared" si="13"/>
        <v>3082.75</v>
      </c>
      <c r="R438" s="5">
        <v>61</v>
      </c>
      <c r="S438" s="5" t="s">
        <v>2034</v>
      </c>
      <c r="T438" s="5" t="s">
        <v>2037</v>
      </c>
    </row>
    <row r="439" spans="1:20" x14ac:dyDescent="0.25">
      <c r="A439" s="5" t="s">
        <v>452</v>
      </c>
      <c r="B439" s="10">
        <v>45569</v>
      </c>
      <c r="C439" s="5" t="s">
        <v>1014</v>
      </c>
      <c r="D439" s="11" t="s">
        <v>1457</v>
      </c>
      <c r="E439" s="5" t="s">
        <v>2493</v>
      </c>
      <c r="F439" s="5">
        <v>32</v>
      </c>
      <c r="G439" s="5" t="str" cm="1">
        <f t="array" ref="G439">_xlfn.IFS(F439&lt;12,"Child",F439&lt;18,"Teen",F439&lt;25,"Young",F439&lt;40,"Adult",F439&lt;60,"Middle Age",F439&gt;=60,"Old")</f>
        <v>Adult</v>
      </c>
      <c r="H439" s="5" t="s">
        <v>2044</v>
      </c>
      <c r="I439" s="5" t="s">
        <v>2048</v>
      </c>
      <c r="J439" s="5" t="s">
        <v>2020</v>
      </c>
      <c r="K439" s="5" t="str">
        <f>VLOOKUP(J439,Sheet2!$A$1:$B$11,2,FALSE)</f>
        <v>Summer Wear</v>
      </c>
      <c r="L439" s="5">
        <v>1</v>
      </c>
      <c r="M439" s="6">
        <v>172</v>
      </c>
      <c r="N439" s="6">
        <v>172</v>
      </c>
      <c r="O439" s="7">
        <v>0.05</v>
      </c>
      <c r="P439" s="8">
        <f t="shared" si="12"/>
        <v>8.6</v>
      </c>
      <c r="Q439" s="9">
        <f t="shared" si="13"/>
        <v>163.4</v>
      </c>
      <c r="R439" s="5">
        <v>3</v>
      </c>
      <c r="S439" s="5" t="s">
        <v>2032</v>
      </c>
      <c r="T439" s="5" t="s">
        <v>2036</v>
      </c>
    </row>
    <row r="440" spans="1:20" x14ac:dyDescent="0.25">
      <c r="A440" s="5" t="s">
        <v>453</v>
      </c>
      <c r="B440" s="10">
        <v>45542</v>
      </c>
      <c r="C440" s="5" t="s">
        <v>1020</v>
      </c>
      <c r="D440" s="11" t="s">
        <v>1458</v>
      </c>
      <c r="E440" s="5" t="s">
        <v>2494</v>
      </c>
      <c r="F440" s="5">
        <v>56</v>
      </c>
      <c r="G440" s="5" t="str" cm="1">
        <f t="array" ref="G440">_xlfn.IFS(F440&lt;12,"Child",F440&lt;18,"Teen",F440&lt;25,"Young",F440&lt;40,"Adult",F440&lt;60,"Middle Age",F440&gt;=60,"Old")</f>
        <v>Middle Age</v>
      </c>
      <c r="H440" s="5" t="s">
        <v>2044</v>
      </c>
      <c r="I440" s="5" t="s">
        <v>2048</v>
      </c>
      <c r="J440" s="5" t="s">
        <v>2025</v>
      </c>
      <c r="K440" s="5" t="str">
        <f>VLOOKUP(J440,Sheet2!$A$1:$B$11,2,FALSE)</f>
        <v>Formal Wear</v>
      </c>
      <c r="L440" s="5">
        <v>4</v>
      </c>
      <c r="M440" s="6">
        <v>504</v>
      </c>
      <c r="N440" s="6">
        <v>2016</v>
      </c>
      <c r="O440" s="7">
        <v>0.15</v>
      </c>
      <c r="P440" s="8">
        <f t="shared" si="12"/>
        <v>302.39999999999998</v>
      </c>
      <c r="Q440" s="9">
        <f t="shared" si="13"/>
        <v>1713.6</v>
      </c>
      <c r="R440" s="5">
        <v>34</v>
      </c>
      <c r="S440" s="5" t="s">
        <v>2032</v>
      </c>
      <c r="T440" s="5" t="s">
        <v>2037</v>
      </c>
    </row>
    <row r="441" spans="1:20" x14ac:dyDescent="0.25">
      <c r="A441" s="5" t="s">
        <v>454</v>
      </c>
      <c r="B441" s="10">
        <v>45412</v>
      </c>
      <c r="C441" s="5" t="s">
        <v>1019</v>
      </c>
      <c r="D441" s="11" t="s">
        <v>1459</v>
      </c>
      <c r="E441" s="5" t="s">
        <v>2495</v>
      </c>
      <c r="F441" s="5">
        <v>38</v>
      </c>
      <c r="G441" s="5" t="str" cm="1">
        <f t="array" ref="G441">_xlfn.IFS(F441&lt;12,"Child",F441&lt;18,"Teen",F441&lt;25,"Young",F441&lt;40,"Adult",F441&lt;60,"Middle Age",F441&gt;=60,"Old")</f>
        <v>Adult</v>
      </c>
      <c r="H441" s="5" t="s">
        <v>2044</v>
      </c>
      <c r="I441" s="5" t="s">
        <v>2053</v>
      </c>
      <c r="J441" s="5" t="s">
        <v>2020</v>
      </c>
      <c r="K441" s="5" t="str">
        <f>VLOOKUP(J441,Sheet2!$A$1:$B$11,2,FALSE)</f>
        <v>Summer Wear</v>
      </c>
      <c r="L441" s="5">
        <v>5</v>
      </c>
      <c r="M441" s="6">
        <v>990</v>
      </c>
      <c r="N441" s="6">
        <v>4950</v>
      </c>
      <c r="O441" s="7">
        <v>0</v>
      </c>
      <c r="P441" s="8">
        <f t="shared" si="12"/>
        <v>0</v>
      </c>
      <c r="Q441" s="9">
        <f t="shared" si="13"/>
        <v>4950</v>
      </c>
      <c r="R441" s="5">
        <v>99</v>
      </c>
      <c r="S441" s="5" t="s">
        <v>2032</v>
      </c>
      <c r="T441" s="5" t="s">
        <v>2036</v>
      </c>
    </row>
    <row r="442" spans="1:20" x14ac:dyDescent="0.25">
      <c r="A442" s="5" t="s">
        <v>455</v>
      </c>
      <c r="B442" s="10">
        <v>45454</v>
      </c>
      <c r="C442" s="5" t="s">
        <v>1019</v>
      </c>
      <c r="D442" s="11" t="s">
        <v>1460</v>
      </c>
      <c r="E442" s="5" t="s">
        <v>2496</v>
      </c>
      <c r="F442" s="5">
        <v>47</v>
      </c>
      <c r="G442" s="5" t="str" cm="1">
        <f t="array" ref="G442">_xlfn.IFS(F442&lt;12,"Child",F442&lt;18,"Teen",F442&lt;25,"Young",F442&lt;40,"Adult",F442&lt;60,"Middle Age",F442&gt;=60,"Old")</f>
        <v>Middle Age</v>
      </c>
      <c r="H442" s="5" t="s">
        <v>2043</v>
      </c>
      <c r="I442" s="5" t="s">
        <v>2048</v>
      </c>
      <c r="J442" s="5" t="s">
        <v>2019</v>
      </c>
      <c r="K442" s="5" t="str">
        <f>VLOOKUP(J442,Sheet2!$A$1:$B$11,2,FALSE)</f>
        <v>Formal Wear</v>
      </c>
      <c r="L442" s="5">
        <v>4</v>
      </c>
      <c r="M442" s="6">
        <v>830</v>
      </c>
      <c r="N442" s="6">
        <v>3320</v>
      </c>
      <c r="O442" s="7">
        <v>0.05</v>
      </c>
      <c r="P442" s="8">
        <f t="shared" si="12"/>
        <v>166</v>
      </c>
      <c r="Q442" s="9">
        <f t="shared" si="13"/>
        <v>3154</v>
      </c>
      <c r="R442" s="5">
        <v>63</v>
      </c>
      <c r="S442" s="5" t="s">
        <v>2033</v>
      </c>
      <c r="T442" s="5" t="s">
        <v>2036</v>
      </c>
    </row>
    <row r="443" spans="1:20" x14ac:dyDescent="0.25">
      <c r="A443" s="5" t="s">
        <v>456</v>
      </c>
      <c r="B443" s="10">
        <v>45710</v>
      </c>
      <c r="C443" s="5" t="s">
        <v>1020</v>
      </c>
      <c r="D443" s="11" t="s">
        <v>1461</v>
      </c>
      <c r="E443" s="5" t="s">
        <v>2497</v>
      </c>
      <c r="F443" s="5">
        <v>54</v>
      </c>
      <c r="G443" s="5" t="str" cm="1">
        <f t="array" ref="G443">_xlfn.IFS(F443&lt;12,"Child",F443&lt;18,"Teen",F443&lt;25,"Young",F443&lt;40,"Adult",F443&lt;60,"Middle Age",F443&gt;=60,"Old")</f>
        <v>Middle Age</v>
      </c>
      <c r="H443" s="5" t="s">
        <v>2043</v>
      </c>
      <c r="I443" s="5" t="s">
        <v>2046</v>
      </c>
      <c r="J443" s="5" t="s">
        <v>2021</v>
      </c>
      <c r="K443" s="5" t="str">
        <f>VLOOKUP(J443,Sheet2!$A$1:$B$11,2,FALSE)</f>
        <v>Casual Wear</v>
      </c>
      <c r="L443" s="5">
        <v>3</v>
      </c>
      <c r="M443" s="6">
        <v>1039</v>
      </c>
      <c r="N443" s="6">
        <v>3117</v>
      </c>
      <c r="O443" s="7">
        <v>0.1</v>
      </c>
      <c r="P443" s="8">
        <f t="shared" si="12"/>
        <v>311.70000000000005</v>
      </c>
      <c r="Q443" s="9">
        <f t="shared" si="13"/>
        <v>2805.3</v>
      </c>
      <c r="R443" s="5">
        <v>56</v>
      </c>
      <c r="S443" s="5" t="s">
        <v>2034</v>
      </c>
      <c r="T443" s="5" t="s">
        <v>2035</v>
      </c>
    </row>
    <row r="444" spans="1:20" x14ac:dyDescent="0.25">
      <c r="A444" s="5" t="s">
        <v>457</v>
      </c>
      <c r="B444" s="10">
        <v>45440</v>
      </c>
      <c r="C444" s="5" t="s">
        <v>1019</v>
      </c>
      <c r="D444" s="11" t="s">
        <v>1462</v>
      </c>
      <c r="E444" s="5" t="s">
        <v>2498</v>
      </c>
      <c r="F444" s="5">
        <v>39</v>
      </c>
      <c r="G444" s="5" t="str" cm="1">
        <f t="array" ref="G444">_xlfn.IFS(F444&lt;12,"Child",F444&lt;18,"Teen",F444&lt;25,"Young",F444&lt;40,"Adult",F444&lt;60,"Middle Age",F444&gt;=60,"Old")</f>
        <v>Adult</v>
      </c>
      <c r="H444" s="5" t="s">
        <v>2043</v>
      </c>
      <c r="I444" s="5" t="s">
        <v>2049</v>
      </c>
      <c r="J444" s="5" t="s">
        <v>2017</v>
      </c>
      <c r="K444" s="5" t="str">
        <f>VLOOKUP(J444,Sheet2!$A$1:$B$11,2,FALSE)</f>
        <v>Casual Wear</v>
      </c>
      <c r="L444" s="5">
        <v>3</v>
      </c>
      <c r="M444" s="6">
        <v>542</v>
      </c>
      <c r="N444" s="6">
        <v>1626</v>
      </c>
      <c r="O444" s="7">
        <v>0.2</v>
      </c>
      <c r="P444" s="8">
        <f t="shared" si="12"/>
        <v>325.20000000000005</v>
      </c>
      <c r="Q444" s="9">
        <f t="shared" si="13"/>
        <v>1300.8</v>
      </c>
      <c r="R444" s="5">
        <v>26</v>
      </c>
      <c r="S444" s="5" t="s">
        <v>2032</v>
      </c>
      <c r="T444" s="5" t="s">
        <v>2037</v>
      </c>
    </row>
    <row r="445" spans="1:20" x14ac:dyDescent="0.25">
      <c r="A445" s="5" t="s">
        <v>458</v>
      </c>
      <c r="B445" s="10">
        <v>45426</v>
      </c>
      <c r="C445" s="5" t="s">
        <v>1019</v>
      </c>
      <c r="D445" s="11" t="s">
        <v>1463</v>
      </c>
      <c r="E445" s="5" t="s">
        <v>2499</v>
      </c>
      <c r="F445" s="5">
        <v>54</v>
      </c>
      <c r="G445" s="5" t="str" cm="1">
        <f t="array" ref="G445">_xlfn.IFS(F445&lt;12,"Child",F445&lt;18,"Teen",F445&lt;25,"Young",F445&lt;40,"Adult",F445&lt;60,"Middle Age",F445&gt;=60,"Old")</f>
        <v>Middle Age</v>
      </c>
      <c r="H445" s="5" t="s">
        <v>2044</v>
      </c>
      <c r="I445" s="5" t="s">
        <v>2046</v>
      </c>
      <c r="J445" s="5" t="s">
        <v>2024</v>
      </c>
      <c r="K445" s="5" t="str">
        <f>VLOOKUP(J445,Sheet2!$A$1:$B$11,2,FALSE)</f>
        <v>Fashion Accessories</v>
      </c>
      <c r="L445" s="5">
        <v>3</v>
      </c>
      <c r="M445" s="6">
        <v>1058</v>
      </c>
      <c r="N445" s="6">
        <v>3174</v>
      </c>
      <c r="O445" s="7">
        <v>0.05</v>
      </c>
      <c r="P445" s="8">
        <f t="shared" si="12"/>
        <v>158.70000000000002</v>
      </c>
      <c r="Q445" s="9">
        <f t="shared" si="13"/>
        <v>3015.3</v>
      </c>
      <c r="R445" s="5">
        <v>60</v>
      </c>
      <c r="S445" s="5" t="s">
        <v>2032</v>
      </c>
      <c r="T445" s="5" t="s">
        <v>2037</v>
      </c>
    </row>
    <row r="446" spans="1:20" x14ac:dyDescent="0.25">
      <c r="A446" s="5" t="s">
        <v>459</v>
      </c>
      <c r="B446" s="10">
        <v>45687</v>
      </c>
      <c r="C446" s="5" t="s">
        <v>1018</v>
      </c>
      <c r="D446" s="11" t="s">
        <v>1464</v>
      </c>
      <c r="E446" s="5" t="s">
        <v>2500</v>
      </c>
      <c r="F446" s="5">
        <v>32</v>
      </c>
      <c r="G446" s="5" t="str" cm="1">
        <f t="array" ref="G446">_xlfn.IFS(F446&lt;12,"Child",F446&lt;18,"Teen",F446&lt;25,"Young",F446&lt;40,"Adult",F446&lt;60,"Middle Age",F446&gt;=60,"Old")</f>
        <v>Adult</v>
      </c>
      <c r="H446" s="5" t="s">
        <v>2044</v>
      </c>
      <c r="I446" s="5" t="s">
        <v>2015</v>
      </c>
      <c r="J446" s="5" t="s">
        <v>2025</v>
      </c>
      <c r="K446" s="5" t="str">
        <f>VLOOKUP(J446,Sheet2!$A$1:$B$11,2,FALSE)</f>
        <v>Formal Wear</v>
      </c>
      <c r="L446" s="5">
        <v>3</v>
      </c>
      <c r="M446" s="6">
        <v>1170</v>
      </c>
      <c r="N446" s="6">
        <v>3510</v>
      </c>
      <c r="O446" s="7">
        <v>0</v>
      </c>
      <c r="P446" s="8">
        <f t="shared" si="12"/>
        <v>0</v>
      </c>
      <c r="Q446" s="9">
        <f t="shared" si="13"/>
        <v>3510</v>
      </c>
      <c r="R446" s="5">
        <v>70</v>
      </c>
      <c r="S446" s="5" t="s">
        <v>2033</v>
      </c>
      <c r="T446" s="5" t="s">
        <v>2035</v>
      </c>
    </row>
    <row r="447" spans="1:20" x14ac:dyDescent="0.25">
      <c r="A447" s="5" t="s">
        <v>460</v>
      </c>
      <c r="B447" s="10">
        <v>45530</v>
      </c>
      <c r="C447" s="5" t="s">
        <v>1016</v>
      </c>
      <c r="D447" s="11" t="s">
        <v>1465</v>
      </c>
      <c r="E447" s="5" t="s">
        <v>2501</v>
      </c>
      <c r="F447" s="5">
        <v>25</v>
      </c>
      <c r="G447" s="5" t="str" cm="1">
        <f t="array" ref="G447">_xlfn.IFS(F447&lt;12,"Child",F447&lt;18,"Teen",F447&lt;25,"Young",F447&lt;40,"Adult",F447&lt;60,"Middle Age",F447&gt;=60,"Old")</f>
        <v>Adult</v>
      </c>
      <c r="H447" s="5" t="s">
        <v>2044</v>
      </c>
      <c r="I447" s="5" t="s">
        <v>2053</v>
      </c>
      <c r="J447" s="5" t="s">
        <v>2020</v>
      </c>
      <c r="K447" s="5" t="str">
        <f>VLOOKUP(J447,Sheet2!$A$1:$B$11,2,FALSE)</f>
        <v>Summer Wear</v>
      </c>
      <c r="L447" s="5">
        <v>5</v>
      </c>
      <c r="M447" s="6">
        <v>601</v>
      </c>
      <c r="N447" s="6">
        <v>3005</v>
      </c>
      <c r="O447" s="7">
        <v>0.1</v>
      </c>
      <c r="P447" s="8">
        <f t="shared" si="12"/>
        <v>300.5</v>
      </c>
      <c r="Q447" s="9">
        <f t="shared" si="13"/>
        <v>2704.5</v>
      </c>
      <c r="R447" s="5">
        <v>54</v>
      </c>
      <c r="S447" s="5" t="s">
        <v>2033</v>
      </c>
      <c r="T447" s="5" t="s">
        <v>2036</v>
      </c>
    </row>
    <row r="448" spans="1:20" x14ac:dyDescent="0.25">
      <c r="A448" s="5" t="s">
        <v>461</v>
      </c>
      <c r="B448" s="10">
        <v>45394</v>
      </c>
      <c r="C448" s="5" t="s">
        <v>1014</v>
      </c>
      <c r="D448" s="11" t="s">
        <v>1466</v>
      </c>
      <c r="E448" s="5" t="s">
        <v>2502</v>
      </c>
      <c r="F448" s="5">
        <v>45</v>
      </c>
      <c r="G448" s="5" t="str" cm="1">
        <f t="array" ref="G448">_xlfn.IFS(F448&lt;12,"Child",F448&lt;18,"Teen",F448&lt;25,"Young",F448&lt;40,"Adult",F448&lt;60,"Middle Age",F448&gt;=60,"Old")</f>
        <v>Middle Age</v>
      </c>
      <c r="H448" s="5" t="s">
        <v>2043</v>
      </c>
      <c r="I448" s="5" t="s">
        <v>2048</v>
      </c>
      <c r="J448" s="5" t="s">
        <v>2016</v>
      </c>
      <c r="K448" s="5" t="str">
        <f>VLOOKUP(J448,Sheet2!$A$1:$B$11,2,FALSE)</f>
        <v>Winter Wear</v>
      </c>
      <c r="L448" s="5">
        <v>3</v>
      </c>
      <c r="M448" s="6">
        <v>525</v>
      </c>
      <c r="N448" s="6">
        <v>1575</v>
      </c>
      <c r="O448" s="7">
        <v>0.05</v>
      </c>
      <c r="P448" s="8">
        <f t="shared" si="12"/>
        <v>78.75</v>
      </c>
      <c r="Q448" s="9">
        <f t="shared" si="13"/>
        <v>1496.25</v>
      </c>
      <c r="R448" s="5">
        <v>29</v>
      </c>
      <c r="S448" s="5" t="s">
        <v>2034</v>
      </c>
      <c r="T448" s="5" t="s">
        <v>2037</v>
      </c>
    </row>
    <row r="449" spans="1:20" x14ac:dyDescent="0.25">
      <c r="A449" s="5" t="s">
        <v>462</v>
      </c>
      <c r="B449" s="10">
        <v>45509</v>
      </c>
      <c r="C449" s="5" t="s">
        <v>1016</v>
      </c>
      <c r="D449" s="11" t="s">
        <v>1467</v>
      </c>
      <c r="E449" s="5" t="s">
        <v>2503</v>
      </c>
      <c r="F449" s="5">
        <v>39</v>
      </c>
      <c r="G449" s="5" t="str" cm="1">
        <f t="array" ref="G449">_xlfn.IFS(F449&lt;12,"Child",F449&lt;18,"Teen",F449&lt;25,"Young",F449&lt;40,"Adult",F449&lt;60,"Middle Age",F449&gt;=60,"Old")</f>
        <v>Adult</v>
      </c>
      <c r="H449" s="5" t="s">
        <v>2044</v>
      </c>
      <c r="I449" s="5" t="s">
        <v>2051</v>
      </c>
      <c r="J449" s="5" t="s">
        <v>2017</v>
      </c>
      <c r="K449" s="5" t="str">
        <f>VLOOKUP(J449,Sheet2!$A$1:$B$11,2,FALSE)</f>
        <v>Casual Wear</v>
      </c>
      <c r="L449" s="5">
        <v>2</v>
      </c>
      <c r="M449" s="6">
        <v>791</v>
      </c>
      <c r="N449" s="6">
        <v>1582</v>
      </c>
      <c r="O449" s="7">
        <v>0</v>
      </c>
      <c r="P449" s="8">
        <f t="shared" si="12"/>
        <v>0</v>
      </c>
      <c r="Q449" s="9">
        <f t="shared" si="13"/>
        <v>1582</v>
      </c>
      <c r="R449" s="5">
        <v>31</v>
      </c>
      <c r="S449" s="5" t="s">
        <v>2033</v>
      </c>
      <c r="T449" s="5" t="s">
        <v>2037</v>
      </c>
    </row>
    <row r="450" spans="1:20" x14ac:dyDescent="0.25">
      <c r="A450" s="5" t="s">
        <v>463</v>
      </c>
      <c r="B450" s="10">
        <v>45422</v>
      </c>
      <c r="C450" s="5" t="s">
        <v>1014</v>
      </c>
      <c r="D450" s="11" t="s">
        <v>1468</v>
      </c>
      <c r="E450" s="5" t="s">
        <v>2504</v>
      </c>
      <c r="F450" s="5">
        <v>22</v>
      </c>
      <c r="G450" s="5" t="str" cm="1">
        <f t="array" ref="G450">_xlfn.IFS(F450&lt;12,"Child",F450&lt;18,"Teen",F450&lt;25,"Young",F450&lt;40,"Adult",F450&lt;60,"Middle Age",F450&gt;=60,"Old")</f>
        <v>Young</v>
      </c>
      <c r="H450" s="5" t="s">
        <v>2043</v>
      </c>
      <c r="I450" s="5" t="s">
        <v>2015</v>
      </c>
      <c r="J450" s="5" t="s">
        <v>2019</v>
      </c>
      <c r="K450" s="5" t="str">
        <f>VLOOKUP(J450,Sheet2!$A$1:$B$11,2,FALSE)</f>
        <v>Formal Wear</v>
      </c>
      <c r="L450" s="5">
        <v>3</v>
      </c>
      <c r="M450" s="6">
        <v>745</v>
      </c>
      <c r="N450" s="6">
        <v>2235</v>
      </c>
      <c r="O450" s="7">
        <v>0.1</v>
      </c>
      <c r="P450" s="8">
        <f t="shared" si="12"/>
        <v>223.5</v>
      </c>
      <c r="Q450" s="9">
        <f t="shared" si="13"/>
        <v>2011.5</v>
      </c>
      <c r="R450" s="5">
        <v>40</v>
      </c>
      <c r="S450" s="5" t="s">
        <v>2032</v>
      </c>
      <c r="T450" s="5" t="s">
        <v>2035</v>
      </c>
    </row>
    <row r="451" spans="1:20" x14ac:dyDescent="0.25">
      <c r="A451" s="5" t="s">
        <v>464</v>
      </c>
      <c r="B451" s="10">
        <v>45718</v>
      </c>
      <c r="C451" s="5" t="s">
        <v>1015</v>
      </c>
      <c r="D451" s="11" t="s">
        <v>1469</v>
      </c>
      <c r="E451" s="5" t="s">
        <v>2505</v>
      </c>
      <c r="F451" s="5">
        <v>50</v>
      </c>
      <c r="G451" s="5" t="str" cm="1">
        <f t="array" ref="G451">_xlfn.IFS(F451&lt;12,"Child",F451&lt;18,"Teen",F451&lt;25,"Young",F451&lt;40,"Adult",F451&lt;60,"Middle Age",F451&gt;=60,"Old")</f>
        <v>Middle Age</v>
      </c>
      <c r="H451" s="5" t="s">
        <v>2043</v>
      </c>
      <c r="I451" s="5" t="s">
        <v>2046</v>
      </c>
      <c r="J451" s="5" t="s">
        <v>2019</v>
      </c>
      <c r="K451" s="5" t="str">
        <f>VLOOKUP(J451,Sheet2!$A$1:$B$11,2,FALSE)</f>
        <v>Formal Wear</v>
      </c>
      <c r="L451" s="5">
        <v>4</v>
      </c>
      <c r="M451" s="6">
        <v>729</v>
      </c>
      <c r="N451" s="6">
        <v>2916</v>
      </c>
      <c r="O451" s="7">
        <v>0.05</v>
      </c>
      <c r="P451" s="8">
        <f t="shared" ref="P451:P514" si="14">N451*O451</f>
        <v>145.80000000000001</v>
      </c>
      <c r="Q451" s="9">
        <f t="shared" ref="Q451:Q514" si="15">N451-P451</f>
        <v>2770.2</v>
      </c>
      <c r="R451" s="5">
        <v>55</v>
      </c>
      <c r="S451" s="5" t="s">
        <v>2032</v>
      </c>
      <c r="T451" s="5" t="s">
        <v>2037</v>
      </c>
    </row>
    <row r="452" spans="1:20" x14ac:dyDescent="0.25">
      <c r="A452" s="5" t="s">
        <v>465</v>
      </c>
      <c r="B452" s="10">
        <v>45506</v>
      </c>
      <c r="C452" s="5" t="s">
        <v>1014</v>
      </c>
      <c r="D452" s="11" t="s">
        <v>1470</v>
      </c>
      <c r="E452" s="5" t="s">
        <v>2506</v>
      </c>
      <c r="F452" s="5">
        <v>28</v>
      </c>
      <c r="G452" s="5" t="str" cm="1">
        <f t="array" ref="G452">_xlfn.IFS(F452&lt;12,"Child",F452&lt;18,"Teen",F452&lt;25,"Young",F452&lt;40,"Adult",F452&lt;60,"Middle Age",F452&gt;=60,"Old")</f>
        <v>Adult</v>
      </c>
      <c r="H452" s="5" t="s">
        <v>2043</v>
      </c>
      <c r="I452" s="5" t="s">
        <v>2046</v>
      </c>
      <c r="J452" s="5" t="s">
        <v>2017</v>
      </c>
      <c r="K452" s="5" t="str">
        <f>VLOOKUP(J452,Sheet2!$A$1:$B$11,2,FALSE)</f>
        <v>Casual Wear</v>
      </c>
      <c r="L452" s="5">
        <v>1</v>
      </c>
      <c r="M452" s="6">
        <v>845</v>
      </c>
      <c r="N452" s="6">
        <v>845</v>
      </c>
      <c r="O452" s="7">
        <v>0.05</v>
      </c>
      <c r="P452" s="8">
        <f t="shared" si="14"/>
        <v>42.25</v>
      </c>
      <c r="Q452" s="9">
        <f t="shared" si="15"/>
        <v>802.75</v>
      </c>
      <c r="R452" s="5">
        <v>16</v>
      </c>
      <c r="S452" s="5" t="s">
        <v>2032</v>
      </c>
      <c r="T452" s="5" t="s">
        <v>2035</v>
      </c>
    </row>
    <row r="453" spans="1:20" x14ac:dyDescent="0.25">
      <c r="A453" s="5" t="s">
        <v>466</v>
      </c>
      <c r="B453" s="10">
        <v>45670</v>
      </c>
      <c r="C453" s="5" t="s">
        <v>1016</v>
      </c>
      <c r="D453" s="11" t="s">
        <v>1471</v>
      </c>
      <c r="E453" s="5" t="s">
        <v>2507</v>
      </c>
      <c r="F453" s="5">
        <v>24</v>
      </c>
      <c r="G453" s="5" t="str" cm="1">
        <f t="array" ref="G453">_xlfn.IFS(F453&lt;12,"Child",F453&lt;18,"Teen",F453&lt;25,"Young",F453&lt;40,"Adult",F453&lt;60,"Middle Age",F453&gt;=60,"Old")</f>
        <v>Young</v>
      </c>
      <c r="H453" s="5" t="s">
        <v>2043</v>
      </c>
      <c r="I453" s="5" t="s">
        <v>2051</v>
      </c>
      <c r="J453" s="5" t="s">
        <v>2025</v>
      </c>
      <c r="K453" s="5" t="str">
        <f>VLOOKUP(J453,Sheet2!$A$1:$B$11,2,FALSE)</f>
        <v>Formal Wear</v>
      </c>
      <c r="L453" s="5">
        <v>5</v>
      </c>
      <c r="M453" s="6">
        <v>1187</v>
      </c>
      <c r="N453" s="6">
        <v>5935</v>
      </c>
      <c r="O453" s="7">
        <v>0.05</v>
      </c>
      <c r="P453" s="8">
        <f t="shared" si="14"/>
        <v>296.75</v>
      </c>
      <c r="Q453" s="9">
        <f t="shared" si="15"/>
        <v>5638.25</v>
      </c>
      <c r="R453" s="5">
        <v>112</v>
      </c>
      <c r="S453" s="5" t="s">
        <v>2034</v>
      </c>
      <c r="T453" s="5" t="s">
        <v>2035</v>
      </c>
    </row>
    <row r="454" spans="1:20" x14ac:dyDescent="0.25">
      <c r="A454" s="5" t="s">
        <v>467</v>
      </c>
      <c r="B454" s="10">
        <v>45407</v>
      </c>
      <c r="C454" s="5" t="s">
        <v>1018</v>
      </c>
      <c r="D454" s="11" t="s">
        <v>1472</v>
      </c>
      <c r="E454" s="5" t="s">
        <v>2508</v>
      </c>
      <c r="F454" s="5">
        <v>21</v>
      </c>
      <c r="G454" s="5" t="str" cm="1">
        <f t="array" ref="G454">_xlfn.IFS(F454&lt;12,"Child",F454&lt;18,"Teen",F454&lt;25,"Young",F454&lt;40,"Adult",F454&lt;60,"Middle Age",F454&gt;=60,"Old")</f>
        <v>Young</v>
      </c>
      <c r="H454" s="5" t="s">
        <v>2043</v>
      </c>
      <c r="I454" s="5" t="s">
        <v>2052</v>
      </c>
      <c r="J454" s="5" t="s">
        <v>2018</v>
      </c>
      <c r="K454" s="5" t="str">
        <f>VLOOKUP(J454,Sheet2!$A$1:$B$11,2,FALSE)</f>
        <v>Sportswear</v>
      </c>
      <c r="L454" s="5">
        <v>3</v>
      </c>
      <c r="M454" s="6">
        <v>470</v>
      </c>
      <c r="N454" s="6">
        <v>1410</v>
      </c>
      <c r="O454" s="7">
        <v>0.15</v>
      </c>
      <c r="P454" s="8">
        <f t="shared" si="14"/>
        <v>211.5</v>
      </c>
      <c r="Q454" s="9">
        <f t="shared" si="15"/>
        <v>1198.5</v>
      </c>
      <c r="R454" s="5">
        <v>23</v>
      </c>
      <c r="S454" s="5" t="s">
        <v>2032</v>
      </c>
      <c r="T454" s="5" t="s">
        <v>2035</v>
      </c>
    </row>
    <row r="455" spans="1:20" x14ac:dyDescent="0.25">
      <c r="A455" s="5" t="s">
        <v>468</v>
      </c>
      <c r="B455" s="10">
        <v>45688</v>
      </c>
      <c r="C455" s="5" t="s">
        <v>1014</v>
      </c>
      <c r="D455" s="11" t="s">
        <v>1473</v>
      </c>
      <c r="E455" s="5" t="s">
        <v>2509</v>
      </c>
      <c r="F455" s="5">
        <v>57</v>
      </c>
      <c r="G455" s="5" t="str" cm="1">
        <f t="array" ref="G455">_xlfn.IFS(F455&lt;12,"Child",F455&lt;18,"Teen",F455&lt;25,"Young",F455&lt;40,"Adult",F455&lt;60,"Middle Age",F455&gt;=60,"Old")</f>
        <v>Middle Age</v>
      </c>
      <c r="H455" s="5" t="s">
        <v>2044</v>
      </c>
      <c r="I455" s="5" t="s">
        <v>2015</v>
      </c>
      <c r="J455" s="5" t="s">
        <v>2022</v>
      </c>
      <c r="K455" s="5" t="str">
        <f>VLOOKUP(J455,Sheet2!$A$1:$B$11,2,FALSE)</f>
        <v>Sportswear</v>
      </c>
      <c r="L455" s="5">
        <v>4</v>
      </c>
      <c r="M455" s="6">
        <v>1025</v>
      </c>
      <c r="N455" s="6">
        <v>4100</v>
      </c>
      <c r="O455" s="7">
        <v>0.15</v>
      </c>
      <c r="P455" s="8">
        <f t="shared" si="14"/>
        <v>615</v>
      </c>
      <c r="Q455" s="9">
        <f t="shared" si="15"/>
        <v>3485</v>
      </c>
      <c r="R455" s="5">
        <v>69</v>
      </c>
      <c r="S455" s="5" t="s">
        <v>2033</v>
      </c>
      <c r="T455" s="5" t="s">
        <v>2037</v>
      </c>
    </row>
    <row r="456" spans="1:20" x14ac:dyDescent="0.25">
      <c r="A456" s="5" t="s">
        <v>469</v>
      </c>
      <c r="B456" s="10">
        <v>45438</v>
      </c>
      <c r="C456" s="5" t="s">
        <v>1015</v>
      </c>
      <c r="D456" s="11" t="s">
        <v>1474</v>
      </c>
      <c r="E456" s="5" t="s">
        <v>2510</v>
      </c>
      <c r="F456" s="5">
        <v>22</v>
      </c>
      <c r="G456" s="5" t="str" cm="1">
        <f t="array" ref="G456">_xlfn.IFS(F456&lt;12,"Child",F456&lt;18,"Teen",F456&lt;25,"Young",F456&lt;40,"Adult",F456&lt;60,"Middle Age",F456&gt;=60,"Old")</f>
        <v>Young</v>
      </c>
      <c r="H456" s="5" t="s">
        <v>2044</v>
      </c>
      <c r="I456" s="5" t="s">
        <v>2048</v>
      </c>
      <c r="J456" s="5" t="s">
        <v>2022</v>
      </c>
      <c r="K456" s="5" t="str">
        <f>VLOOKUP(J456,Sheet2!$A$1:$B$11,2,FALSE)</f>
        <v>Sportswear</v>
      </c>
      <c r="L456" s="5">
        <v>2</v>
      </c>
      <c r="M456" s="6">
        <v>810</v>
      </c>
      <c r="N456" s="6">
        <v>1620</v>
      </c>
      <c r="O456" s="7">
        <v>0.1</v>
      </c>
      <c r="P456" s="8">
        <f t="shared" si="14"/>
        <v>162</v>
      </c>
      <c r="Q456" s="9">
        <f t="shared" si="15"/>
        <v>1458</v>
      </c>
      <c r="R456" s="5">
        <v>29</v>
      </c>
      <c r="S456" s="5" t="s">
        <v>2032</v>
      </c>
      <c r="T456" s="5" t="s">
        <v>2037</v>
      </c>
    </row>
    <row r="457" spans="1:20" x14ac:dyDescent="0.25">
      <c r="A457" s="5" t="s">
        <v>470</v>
      </c>
      <c r="B457" s="10">
        <v>45520</v>
      </c>
      <c r="C457" s="5" t="s">
        <v>1014</v>
      </c>
      <c r="D457" s="11" t="s">
        <v>1475</v>
      </c>
      <c r="E457" s="5" t="s">
        <v>2511</v>
      </c>
      <c r="F457" s="5">
        <v>50</v>
      </c>
      <c r="G457" s="5" t="str" cm="1">
        <f t="array" ref="G457">_xlfn.IFS(F457&lt;12,"Child",F457&lt;18,"Teen",F457&lt;25,"Young",F457&lt;40,"Adult",F457&lt;60,"Middle Age",F457&gt;=60,"Old")</f>
        <v>Middle Age</v>
      </c>
      <c r="H457" s="5" t="s">
        <v>2044</v>
      </c>
      <c r="I457" s="5" t="s">
        <v>2052</v>
      </c>
      <c r="J457" s="5" t="s">
        <v>2017</v>
      </c>
      <c r="K457" s="5" t="str">
        <f>VLOOKUP(J457,Sheet2!$A$1:$B$11,2,FALSE)</f>
        <v>Casual Wear</v>
      </c>
      <c r="L457" s="5">
        <v>5</v>
      </c>
      <c r="M457" s="6">
        <v>548</v>
      </c>
      <c r="N457" s="6">
        <v>2740</v>
      </c>
      <c r="O457" s="7">
        <v>0.1</v>
      </c>
      <c r="P457" s="8">
        <f t="shared" si="14"/>
        <v>274</v>
      </c>
      <c r="Q457" s="9">
        <f t="shared" si="15"/>
        <v>2466</v>
      </c>
      <c r="R457" s="5">
        <v>49</v>
      </c>
      <c r="S457" s="5" t="s">
        <v>2034</v>
      </c>
      <c r="T457" s="5" t="s">
        <v>2036</v>
      </c>
    </row>
    <row r="458" spans="1:20" x14ac:dyDescent="0.25">
      <c r="A458" s="5" t="s">
        <v>471</v>
      </c>
      <c r="B458" s="10">
        <v>45559</v>
      </c>
      <c r="C458" s="5" t="s">
        <v>1019</v>
      </c>
      <c r="D458" s="11" t="s">
        <v>1476</v>
      </c>
      <c r="E458" s="5" t="s">
        <v>2512</v>
      </c>
      <c r="F458" s="5">
        <v>33</v>
      </c>
      <c r="G458" s="5" t="str" cm="1">
        <f t="array" ref="G458">_xlfn.IFS(F458&lt;12,"Child",F458&lt;18,"Teen",F458&lt;25,"Young",F458&lt;40,"Adult",F458&lt;60,"Middle Age",F458&gt;=60,"Old")</f>
        <v>Adult</v>
      </c>
      <c r="H458" s="5" t="s">
        <v>2044</v>
      </c>
      <c r="I458" s="5" t="s">
        <v>2049</v>
      </c>
      <c r="J458" s="5" t="s">
        <v>2023</v>
      </c>
      <c r="K458" s="5" t="str">
        <f>VLOOKUP(J458,Sheet2!$A$1:$B$11,2,FALSE)</f>
        <v>Formal Wear</v>
      </c>
      <c r="L458" s="5">
        <v>3</v>
      </c>
      <c r="M458" s="6">
        <v>246</v>
      </c>
      <c r="N458" s="6">
        <v>738</v>
      </c>
      <c r="O458" s="7">
        <v>0</v>
      </c>
      <c r="P458" s="8">
        <f t="shared" si="14"/>
        <v>0</v>
      </c>
      <c r="Q458" s="9">
        <f t="shared" si="15"/>
        <v>738</v>
      </c>
      <c r="R458" s="5">
        <v>14</v>
      </c>
      <c r="S458" s="5" t="s">
        <v>2032</v>
      </c>
      <c r="T458" s="5" t="s">
        <v>2035</v>
      </c>
    </row>
    <row r="459" spans="1:20" x14ac:dyDescent="0.25">
      <c r="A459" s="5" t="s">
        <v>472</v>
      </c>
      <c r="B459" s="10">
        <v>45372</v>
      </c>
      <c r="C459" s="5" t="s">
        <v>1018</v>
      </c>
      <c r="D459" s="11" t="s">
        <v>1477</v>
      </c>
      <c r="E459" s="5" t="s">
        <v>2513</v>
      </c>
      <c r="F459" s="5">
        <v>43</v>
      </c>
      <c r="G459" s="5" t="str" cm="1">
        <f t="array" ref="G459">_xlfn.IFS(F459&lt;12,"Child",F459&lt;18,"Teen",F459&lt;25,"Young",F459&lt;40,"Adult",F459&lt;60,"Middle Age",F459&gt;=60,"Old")</f>
        <v>Middle Age</v>
      </c>
      <c r="H459" s="5" t="s">
        <v>2043</v>
      </c>
      <c r="I459" s="5" t="s">
        <v>2053</v>
      </c>
      <c r="J459" s="5" t="s">
        <v>2025</v>
      </c>
      <c r="K459" s="5" t="str">
        <f>VLOOKUP(J459,Sheet2!$A$1:$B$11,2,FALSE)</f>
        <v>Formal Wear</v>
      </c>
      <c r="L459" s="5">
        <v>5</v>
      </c>
      <c r="M459" s="6">
        <v>692</v>
      </c>
      <c r="N459" s="6">
        <v>3460</v>
      </c>
      <c r="O459" s="7">
        <v>0.15</v>
      </c>
      <c r="P459" s="8">
        <f t="shared" si="14"/>
        <v>519</v>
      </c>
      <c r="Q459" s="9">
        <f t="shared" si="15"/>
        <v>2941</v>
      </c>
      <c r="R459" s="5">
        <v>58</v>
      </c>
      <c r="S459" s="5" t="s">
        <v>2034</v>
      </c>
      <c r="T459" s="5" t="s">
        <v>2037</v>
      </c>
    </row>
    <row r="460" spans="1:20" x14ac:dyDescent="0.25">
      <c r="A460" s="5" t="s">
        <v>473</v>
      </c>
      <c r="B460" s="10">
        <v>45542</v>
      </c>
      <c r="C460" s="5" t="s">
        <v>1020</v>
      </c>
      <c r="D460" s="11" t="s">
        <v>1478</v>
      </c>
      <c r="E460" s="5" t="s">
        <v>2514</v>
      </c>
      <c r="F460" s="5">
        <v>29</v>
      </c>
      <c r="G460" s="5" t="str" cm="1">
        <f t="array" ref="G460">_xlfn.IFS(F460&lt;12,"Child",F460&lt;18,"Teen",F460&lt;25,"Young",F460&lt;40,"Adult",F460&lt;60,"Middle Age",F460&gt;=60,"Old")</f>
        <v>Adult</v>
      </c>
      <c r="H460" s="5" t="s">
        <v>2043</v>
      </c>
      <c r="I460" s="5" t="s">
        <v>2046</v>
      </c>
      <c r="J460" s="5" t="s">
        <v>2021</v>
      </c>
      <c r="K460" s="5" t="str">
        <f>VLOOKUP(J460,Sheet2!$A$1:$B$11,2,FALSE)</f>
        <v>Casual Wear</v>
      </c>
      <c r="L460" s="5">
        <v>4</v>
      </c>
      <c r="M460" s="6">
        <v>1159</v>
      </c>
      <c r="N460" s="6">
        <v>4636</v>
      </c>
      <c r="O460" s="7">
        <v>0.2</v>
      </c>
      <c r="P460" s="8">
        <f t="shared" si="14"/>
        <v>927.2</v>
      </c>
      <c r="Q460" s="9">
        <f t="shared" si="15"/>
        <v>3708.8</v>
      </c>
      <c r="R460" s="5">
        <v>74</v>
      </c>
      <c r="S460" s="5" t="s">
        <v>2032</v>
      </c>
      <c r="T460" s="5" t="s">
        <v>2036</v>
      </c>
    </row>
    <row r="461" spans="1:20" x14ac:dyDescent="0.25">
      <c r="A461" s="5" t="s">
        <v>474</v>
      </c>
      <c r="B461" s="10">
        <v>45560</v>
      </c>
      <c r="C461" s="5" t="s">
        <v>1017</v>
      </c>
      <c r="D461" s="11" t="s">
        <v>1479</v>
      </c>
      <c r="E461" s="5" t="s">
        <v>2515</v>
      </c>
      <c r="F461" s="5">
        <v>22</v>
      </c>
      <c r="G461" s="5" t="str" cm="1">
        <f t="array" ref="G461">_xlfn.IFS(F461&lt;12,"Child",F461&lt;18,"Teen",F461&lt;25,"Young",F461&lt;40,"Adult",F461&lt;60,"Middle Age",F461&gt;=60,"Old")</f>
        <v>Young</v>
      </c>
      <c r="H461" s="5" t="s">
        <v>2043</v>
      </c>
      <c r="I461" s="5" t="s">
        <v>2051</v>
      </c>
      <c r="J461" s="5" t="s">
        <v>2022</v>
      </c>
      <c r="K461" s="5" t="str">
        <f>VLOOKUP(J461,Sheet2!$A$1:$B$11,2,FALSE)</f>
        <v>Sportswear</v>
      </c>
      <c r="L461" s="5">
        <v>1</v>
      </c>
      <c r="M461" s="6">
        <v>455</v>
      </c>
      <c r="N461" s="6">
        <v>455</v>
      </c>
      <c r="O461" s="7">
        <v>0.05</v>
      </c>
      <c r="P461" s="8">
        <f t="shared" si="14"/>
        <v>22.75</v>
      </c>
      <c r="Q461" s="9">
        <f t="shared" si="15"/>
        <v>432.25</v>
      </c>
      <c r="R461" s="5">
        <v>8</v>
      </c>
      <c r="S461" s="5" t="s">
        <v>2032</v>
      </c>
      <c r="T461" s="5" t="s">
        <v>2036</v>
      </c>
    </row>
    <row r="462" spans="1:20" x14ac:dyDescent="0.25">
      <c r="A462" s="5" t="s">
        <v>475</v>
      </c>
      <c r="B462" s="10">
        <v>45533</v>
      </c>
      <c r="C462" s="5" t="s">
        <v>1018</v>
      </c>
      <c r="D462" s="11" t="s">
        <v>1480</v>
      </c>
      <c r="E462" s="5" t="s">
        <v>2516</v>
      </c>
      <c r="F462" s="5">
        <v>31</v>
      </c>
      <c r="G462" s="5" t="str" cm="1">
        <f t="array" ref="G462">_xlfn.IFS(F462&lt;12,"Child",F462&lt;18,"Teen",F462&lt;25,"Young",F462&lt;40,"Adult",F462&lt;60,"Middle Age",F462&gt;=60,"Old")</f>
        <v>Adult</v>
      </c>
      <c r="H462" s="5" t="s">
        <v>2044</v>
      </c>
      <c r="I462" s="5" t="s">
        <v>2051</v>
      </c>
      <c r="J462" s="5" t="s">
        <v>2018</v>
      </c>
      <c r="K462" s="5" t="str">
        <f>VLOOKUP(J462,Sheet2!$A$1:$B$11,2,FALSE)</f>
        <v>Sportswear</v>
      </c>
      <c r="L462" s="5">
        <v>4</v>
      </c>
      <c r="M462" s="6">
        <v>419</v>
      </c>
      <c r="N462" s="6">
        <v>1676</v>
      </c>
      <c r="O462" s="7">
        <v>0</v>
      </c>
      <c r="P462" s="8">
        <f t="shared" si="14"/>
        <v>0</v>
      </c>
      <c r="Q462" s="9">
        <f t="shared" si="15"/>
        <v>1676</v>
      </c>
      <c r="R462" s="5">
        <v>33</v>
      </c>
      <c r="S462" s="5" t="s">
        <v>2034</v>
      </c>
      <c r="T462" s="5" t="s">
        <v>2035</v>
      </c>
    </row>
    <row r="463" spans="1:20" x14ac:dyDescent="0.25">
      <c r="A463" s="5" t="s">
        <v>476</v>
      </c>
      <c r="B463" s="10">
        <v>45704</v>
      </c>
      <c r="C463" s="5" t="s">
        <v>1015</v>
      </c>
      <c r="D463" s="11" t="s">
        <v>1481</v>
      </c>
      <c r="E463" s="5" t="s">
        <v>2517</v>
      </c>
      <c r="F463" s="5">
        <v>19</v>
      </c>
      <c r="G463" s="5" t="str" cm="1">
        <f t="array" ref="G463">_xlfn.IFS(F463&lt;12,"Child",F463&lt;18,"Teen",F463&lt;25,"Young",F463&lt;40,"Adult",F463&lt;60,"Middle Age",F463&gt;=60,"Old")</f>
        <v>Young</v>
      </c>
      <c r="H463" s="5" t="s">
        <v>2044</v>
      </c>
      <c r="I463" s="5" t="s">
        <v>2045</v>
      </c>
      <c r="J463" s="5" t="s">
        <v>2020</v>
      </c>
      <c r="K463" s="5" t="str">
        <f>VLOOKUP(J463,Sheet2!$A$1:$B$11,2,FALSE)</f>
        <v>Summer Wear</v>
      </c>
      <c r="L463" s="5">
        <v>5</v>
      </c>
      <c r="M463" s="6">
        <v>911</v>
      </c>
      <c r="N463" s="6">
        <v>4555</v>
      </c>
      <c r="O463" s="7">
        <v>0.15</v>
      </c>
      <c r="P463" s="8">
        <f t="shared" si="14"/>
        <v>683.25</v>
      </c>
      <c r="Q463" s="9">
        <f t="shared" si="15"/>
        <v>3871.75</v>
      </c>
      <c r="R463" s="5">
        <v>77</v>
      </c>
      <c r="S463" s="5" t="s">
        <v>2033</v>
      </c>
      <c r="T463" s="5" t="s">
        <v>2037</v>
      </c>
    </row>
    <row r="464" spans="1:20" x14ac:dyDescent="0.25">
      <c r="A464" s="5" t="s">
        <v>477</v>
      </c>
      <c r="B464" s="10">
        <v>45473</v>
      </c>
      <c r="C464" s="5" t="s">
        <v>1015</v>
      </c>
      <c r="D464" s="11" t="s">
        <v>1482</v>
      </c>
      <c r="E464" s="5" t="s">
        <v>2518</v>
      </c>
      <c r="F464" s="5">
        <v>24</v>
      </c>
      <c r="G464" s="5" t="str" cm="1">
        <f t="array" ref="G464">_xlfn.IFS(F464&lt;12,"Child",F464&lt;18,"Teen",F464&lt;25,"Young",F464&lt;40,"Adult",F464&lt;60,"Middle Age",F464&gt;=60,"Old")</f>
        <v>Young</v>
      </c>
      <c r="H464" s="5" t="s">
        <v>2043</v>
      </c>
      <c r="I464" s="5" t="s">
        <v>2045</v>
      </c>
      <c r="J464" s="5" t="s">
        <v>2022</v>
      </c>
      <c r="K464" s="5" t="str">
        <f>VLOOKUP(J464,Sheet2!$A$1:$B$11,2,FALSE)</f>
        <v>Sportswear</v>
      </c>
      <c r="L464" s="5">
        <v>3</v>
      </c>
      <c r="M464" s="6">
        <v>1182</v>
      </c>
      <c r="N464" s="6">
        <v>3546</v>
      </c>
      <c r="O464" s="7">
        <v>0.2</v>
      </c>
      <c r="P464" s="8">
        <f t="shared" si="14"/>
        <v>709.2</v>
      </c>
      <c r="Q464" s="9">
        <f t="shared" si="15"/>
        <v>2836.8</v>
      </c>
      <c r="R464" s="5">
        <v>56</v>
      </c>
      <c r="S464" s="5" t="s">
        <v>2032</v>
      </c>
      <c r="T464" s="5" t="s">
        <v>2035</v>
      </c>
    </row>
    <row r="465" spans="1:20" x14ac:dyDescent="0.25">
      <c r="A465" s="5" t="s">
        <v>478</v>
      </c>
      <c r="B465" s="10">
        <v>45406</v>
      </c>
      <c r="C465" s="5" t="s">
        <v>1017</v>
      </c>
      <c r="D465" s="11" t="s">
        <v>1483</v>
      </c>
      <c r="E465" s="5" t="s">
        <v>2519</v>
      </c>
      <c r="F465" s="5">
        <v>52</v>
      </c>
      <c r="G465" s="5" t="str" cm="1">
        <f t="array" ref="G465">_xlfn.IFS(F465&lt;12,"Child",F465&lt;18,"Teen",F465&lt;25,"Young",F465&lt;40,"Adult",F465&lt;60,"Middle Age",F465&gt;=60,"Old")</f>
        <v>Middle Age</v>
      </c>
      <c r="H465" s="5" t="s">
        <v>2043</v>
      </c>
      <c r="I465" s="5" t="s">
        <v>2046</v>
      </c>
      <c r="J465" s="5" t="s">
        <v>2017</v>
      </c>
      <c r="K465" s="5" t="str">
        <f>VLOOKUP(J465,Sheet2!$A$1:$B$11,2,FALSE)</f>
        <v>Casual Wear</v>
      </c>
      <c r="L465" s="5">
        <v>3</v>
      </c>
      <c r="M465" s="6">
        <v>413</v>
      </c>
      <c r="N465" s="6">
        <v>1239</v>
      </c>
      <c r="O465" s="7">
        <v>0</v>
      </c>
      <c r="P465" s="8">
        <f t="shared" si="14"/>
        <v>0</v>
      </c>
      <c r="Q465" s="9">
        <f t="shared" si="15"/>
        <v>1239</v>
      </c>
      <c r="R465" s="5">
        <v>24</v>
      </c>
      <c r="S465" s="5" t="s">
        <v>2033</v>
      </c>
      <c r="T465" s="5" t="s">
        <v>2035</v>
      </c>
    </row>
    <row r="466" spans="1:20" x14ac:dyDescent="0.25">
      <c r="A466" s="5" t="s">
        <v>479</v>
      </c>
      <c r="B466" s="10">
        <v>45653</v>
      </c>
      <c r="C466" s="5" t="s">
        <v>1014</v>
      </c>
      <c r="D466" s="11" t="s">
        <v>1484</v>
      </c>
      <c r="E466" s="5" t="s">
        <v>2520</v>
      </c>
      <c r="F466" s="5">
        <v>21</v>
      </c>
      <c r="G466" s="5" t="str" cm="1">
        <f t="array" ref="G466">_xlfn.IFS(F466&lt;12,"Child",F466&lt;18,"Teen",F466&lt;25,"Young",F466&lt;40,"Adult",F466&lt;60,"Middle Age",F466&gt;=60,"Old")</f>
        <v>Young</v>
      </c>
      <c r="H466" s="5" t="s">
        <v>2044</v>
      </c>
      <c r="I466" s="5" t="s">
        <v>2051</v>
      </c>
      <c r="J466" s="5" t="s">
        <v>2019</v>
      </c>
      <c r="K466" s="5" t="str">
        <f>VLOOKUP(J466,Sheet2!$A$1:$B$11,2,FALSE)</f>
        <v>Formal Wear</v>
      </c>
      <c r="L466" s="5">
        <v>3</v>
      </c>
      <c r="M466" s="6">
        <v>781</v>
      </c>
      <c r="N466" s="6">
        <v>2343</v>
      </c>
      <c r="O466" s="7">
        <v>0.15</v>
      </c>
      <c r="P466" s="8">
        <f t="shared" si="14"/>
        <v>351.45</v>
      </c>
      <c r="Q466" s="9">
        <f t="shared" si="15"/>
        <v>1991.55</v>
      </c>
      <c r="R466" s="5">
        <v>39</v>
      </c>
      <c r="S466" s="5" t="s">
        <v>2032</v>
      </c>
      <c r="T466" s="5" t="s">
        <v>2035</v>
      </c>
    </row>
    <row r="467" spans="1:20" x14ac:dyDescent="0.25">
      <c r="A467" s="5" t="s">
        <v>480</v>
      </c>
      <c r="B467" s="10">
        <v>45452</v>
      </c>
      <c r="C467" s="5" t="s">
        <v>1015</v>
      </c>
      <c r="D467" s="11" t="s">
        <v>1485</v>
      </c>
      <c r="E467" s="5" t="s">
        <v>2521</v>
      </c>
      <c r="F467" s="5">
        <v>53</v>
      </c>
      <c r="G467" s="5" t="str" cm="1">
        <f t="array" ref="G467">_xlfn.IFS(F467&lt;12,"Child",F467&lt;18,"Teen",F467&lt;25,"Young",F467&lt;40,"Adult",F467&lt;60,"Middle Age",F467&gt;=60,"Old")</f>
        <v>Middle Age</v>
      </c>
      <c r="H467" s="5" t="s">
        <v>2043</v>
      </c>
      <c r="I467" s="5" t="s">
        <v>2049</v>
      </c>
      <c r="J467" s="5" t="s">
        <v>2016</v>
      </c>
      <c r="K467" s="5" t="str">
        <f>VLOOKUP(J467,Sheet2!$A$1:$B$11,2,FALSE)</f>
        <v>Winter Wear</v>
      </c>
      <c r="L467" s="5">
        <v>1</v>
      </c>
      <c r="M467" s="6">
        <v>475</v>
      </c>
      <c r="N467" s="6">
        <v>475</v>
      </c>
      <c r="O467" s="7">
        <v>0.15</v>
      </c>
      <c r="P467" s="8">
        <f t="shared" si="14"/>
        <v>71.25</v>
      </c>
      <c r="Q467" s="9">
        <f t="shared" si="15"/>
        <v>403.75</v>
      </c>
      <c r="R467" s="5">
        <v>8</v>
      </c>
      <c r="S467" s="5" t="s">
        <v>2032</v>
      </c>
      <c r="T467" s="5" t="s">
        <v>2036</v>
      </c>
    </row>
    <row r="468" spans="1:20" x14ac:dyDescent="0.25">
      <c r="A468" s="5" t="s">
        <v>481</v>
      </c>
      <c r="B468" s="10">
        <v>45457</v>
      </c>
      <c r="C468" s="5" t="s">
        <v>1014</v>
      </c>
      <c r="D468" s="11" t="s">
        <v>1486</v>
      </c>
      <c r="E468" s="5" t="s">
        <v>2522</v>
      </c>
      <c r="F468" s="5">
        <v>55</v>
      </c>
      <c r="G468" s="5" t="str" cm="1">
        <f t="array" ref="G468">_xlfn.IFS(F468&lt;12,"Child",F468&lt;18,"Teen",F468&lt;25,"Young",F468&lt;40,"Adult",F468&lt;60,"Middle Age",F468&gt;=60,"Old")</f>
        <v>Middle Age</v>
      </c>
      <c r="H468" s="5" t="s">
        <v>2043</v>
      </c>
      <c r="I468" s="5" t="s">
        <v>2047</v>
      </c>
      <c r="J468" s="5" t="s">
        <v>2024</v>
      </c>
      <c r="K468" s="5" t="str">
        <f>VLOOKUP(J468,Sheet2!$A$1:$B$11,2,FALSE)</f>
        <v>Fashion Accessories</v>
      </c>
      <c r="L468" s="5">
        <v>4</v>
      </c>
      <c r="M468" s="6">
        <v>341</v>
      </c>
      <c r="N468" s="6">
        <v>1364</v>
      </c>
      <c r="O468" s="7">
        <v>0.15</v>
      </c>
      <c r="P468" s="8">
        <f t="shared" si="14"/>
        <v>204.6</v>
      </c>
      <c r="Q468" s="9">
        <f t="shared" si="15"/>
        <v>1159.4000000000001</v>
      </c>
      <c r="R468" s="5">
        <v>23</v>
      </c>
      <c r="S468" s="5" t="s">
        <v>2032</v>
      </c>
      <c r="T468" s="5" t="s">
        <v>2036</v>
      </c>
    </row>
    <row r="469" spans="1:20" x14ac:dyDescent="0.25">
      <c r="A469" s="5" t="s">
        <v>482</v>
      </c>
      <c r="B469" s="10">
        <v>45391</v>
      </c>
      <c r="C469" s="5" t="s">
        <v>1019</v>
      </c>
      <c r="D469" s="11" t="s">
        <v>1487</v>
      </c>
      <c r="E469" s="5" t="s">
        <v>2523</v>
      </c>
      <c r="F469" s="5">
        <v>21</v>
      </c>
      <c r="G469" s="5" t="str" cm="1">
        <f t="array" ref="G469">_xlfn.IFS(F469&lt;12,"Child",F469&lt;18,"Teen",F469&lt;25,"Young",F469&lt;40,"Adult",F469&lt;60,"Middle Age",F469&gt;=60,"Old")</f>
        <v>Young</v>
      </c>
      <c r="H469" s="5" t="s">
        <v>2043</v>
      </c>
      <c r="I469" s="5" t="s">
        <v>2046</v>
      </c>
      <c r="J469" s="5" t="s">
        <v>2021</v>
      </c>
      <c r="K469" s="5" t="str">
        <f>VLOOKUP(J469,Sheet2!$A$1:$B$11,2,FALSE)</f>
        <v>Casual Wear</v>
      </c>
      <c r="L469" s="5">
        <v>2</v>
      </c>
      <c r="M469" s="6">
        <v>792</v>
      </c>
      <c r="N469" s="6">
        <v>1584</v>
      </c>
      <c r="O469" s="7">
        <v>0.05</v>
      </c>
      <c r="P469" s="8">
        <f t="shared" si="14"/>
        <v>79.2</v>
      </c>
      <c r="Q469" s="9">
        <f t="shared" si="15"/>
        <v>1504.8</v>
      </c>
      <c r="R469" s="5">
        <v>30</v>
      </c>
      <c r="S469" s="5" t="s">
        <v>2033</v>
      </c>
      <c r="T469" s="5" t="s">
        <v>2035</v>
      </c>
    </row>
    <row r="470" spans="1:20" x14ac:dyDescent="0.25">
      <c r="A470" s="5" t="s">
        <v>483</v>
      </c>
      <c r="B470" s="10">
        <v>45390</v>
      </c>
      <c r="C470" s="5" t="s">
        <v>1016</v>
      </c>
      <c r="D470" s="11" t="s">
        <v>1488</v>
      </c>
      <c r="E470" s="5" t="s">
        <v>2524</v>
      </c>
      <c r="F470" s="5">
        <v>38</v>
      </c>
      <c r="G470" s="5" t="str" cm="1">
        <f t="array" ref="G470">_xlfn.IFS(F470&lt;12,"Child",F470&lt;18,"Teen",F470&lt;25,"Young",F470&lt;40,"Adult",F470&lt;60,"Middle Age",F470&gt;=60,"Old")</f>
        <v>Adult</v>
      </c>
      <c r="H470" s="5" t="s">
        <v>2043</v>
      </c>
      <c r="I470" s="5" t="s">
        <v>2045</v>
      </c>
      <c r="J470" s="5" t="s">
        <v>2025</v>
      </c>
      <c r="K470" s="5" t="str">
        <f>VLOOKUP(J470,Sheet2!$A$1:$B$11,2,FALSE)</f>
        <v>Formal Wear</v>
      </c>
      <c r="L470" s="5">
        <v>1</v>
      </c>
      <c r="M470" s="6">
        <v>1000</v>
      </c>
      <c r="N470" s="6">
        <v>1000</v>
      </c>
      <c r="O470" s="7">
        <v>0.2</v>
      </c>
      <c r="P470" s="8">
        <f t="shared" si="14"/>
        <v>200</v>
      </c>
      <c r="Q470" s="9">
        <f t="shared" si="15"/>
        <v>800</v>
      </c>
      <c r="R470" s="5">
        <v>16</v>
      </c>
      <c r="S470" s="5" t="s">
        <v>2032</v>
      </c>
      <c r="T470" s="5" t="s">
        <v>2035</v>
      </c>
    </row>
    <row r="471" spans="1:20" x14ac:dyDescent="0.25">
      <c r="A471" s="5" t="s">
        <v>484</v>
      </c>
      <c r="B471" s="10">
        <v>45703</v>
      </c>
      <c r="C471" s="5" t="s">
        <v>1020</v>
      </c>
      <c r="D471" s="11" t="s">
        <v>1489</v>
      </c>
      <c r="E471" s="5" t="s">
        <v>2525</v>
      </c>
      <c r="F471" s="5">
        <v>48</v>
      </c>
      <c r="G471" s="5" t="str" cm="1">
        <f t="array" ref="G471">_xlfn.IFS(F471&lt;12,"Child",F471&lt;18,"Teen",F471&lt;25,"Young",F471&lt;40,"Adult",F471&lt;60,"Middle Age",F471&gt;=60,"Old")</f>
        <v>Middle Age</v>
      </c>
      <c r="H471" s="5" t="s">
        <v>2043</v>
      </c>
      <c r="I471" s="5" t="s">
        <v>2046</v>
      </c>
      <c r="J471" s="5" t="s">
        <v>2024</v>
      </c>
      <c r="K471" s="5" t="str">
        <f>VLOOKUP(J471,Sheet2!$A$1:$B$11,2,FALSE)</f>
        <v>Fashion Accessories</v>
      </c>
      <c r="L471" s="5">
        <v>1</v>
      </c>
      <c r="M471" s="6">
        <v>777</v>
      </c>
      <c r="N471" s="6">
        <v>777</v>
      </c>
      <c r="O471" s="7">
        <v>0</v>
      </c>
      <c r="P471" s="8">
        <f t="shared" si="14"/>
        <v>0</v>
      </c>
      <c r="Q471" s="9">
        <f t="shared" si="15"/>
        <v>777</v>
      </c>
      <c r="R471" s="5">
        <v>15</v>
      </c>
      <c r="S471" s="5" t="s">
        <v>2033</v>
      </c>
      <c r="T471" s="5" t="s">
        <v>2037</v>
      </c>
    </row>
    <row r="472" spans="1:20" x14ac:dyDescent="0.25">
      <c r="A472" s="5" t="s">
        <v>485</v>
      </c>
      <c r="B472" s="10">
        <v>45567</v>
      </c>
      <c r="C472" s="5" t="s">
        <v>1017</v>
      </c>
      <c r="D472" s="11" t="s">
        <v>1490</v>
      </c>
      <c r="E472" s="5" t="s">
        <v>2526</v>
      </c>
      <c r="F472" s="5">
        <v>44</v>
      </c>
      <c r="G472" s="5" t="str" cm="1">
        <f t="array" ref="G472">_xlfn.IFS(F472&lt;12,"Child",F472&lt;18,"Teen",F472&lt;25,"Young",F472&lt;40,"Adult",F472&lt;60,"Middle Age",F472&gt;=60,"Old")</f>
        <v>Middle Age</v>
      </c>
      <c r="H472" s="5" t="s">
        <v>2043</v>
      </c>
      <c r="I472" s="5" t="s">
        <v>2046</v>
      </c>
      <c r="J472" s="5" t="s">
        <v>2024</v>
      </c>
      <c r="K472" s="5" t="str">
        <f>VLOOKUP(J472,Sheet2!$A$1:$B$11,2,FALSE)</f>
        <v>Fashion Accessories</v>
      </c>
      <c r="L472" s="5">
        <v>2</v>
      </c>
      <c r="M472" s="6">
        <v>858</v>
      </c>
      <c r="N472" s="6">
        <v>1716</v>
      </c>
      <c r="O472" s="7">
        <v>0.1</v>
      </c>
      <c r="P472" s="8">
        <f t="shared" si="14"/>
        <v>171.60000000000002</v>
      </c>
      <c r="Q472" s="9">
        <f t="shared" si="15"/>
        <v>1544.4</v>
      </c>
      <c r="R472" s="5">
        <v>30</v>
      </c>
      <c r="S472" s="5" t="s">
        <v>2033</v>
      </c>
      <c r="T472" s="5" t="s">
        <v>2036</v>
      </c>
    </row>
    <row r="473" spans="1:20" x14ac:dyDescent="0.25">
      <c r="A473" s="5" t="s">
        <v>486</v>
      </c>
      <c r="B473" s="10">
        <v>45669</v>
      </c>
      <c r="C473" s="5" t="s">
        <v>1015</v>
      </c>
      <c r="D473" s="11" t="s">
        <v>1491</v>
      </c>
      <c r="E473" s="5" t="s">
        <v>2527</v>
      </c>
      <c r="F473" s="5">
        <v>36</v>
      </c>
      <c r="G473" s="5" t="str" cm="1">
        <f t="array" ref="G473">_xlfn.IFS(F473&lt;12,"Child",F473&lt;18,"Teen",F473&lt;25,"Young",F473&lt;40,"Adult",F473&lt;60,"Middle Age",F473&gt;=60,"Old")</f>
        <v>Adult</v>
      </c>
      <c r="H473" s="5" t="s">
        <v>2044</v>
      </c>
      <c r="I473" s="5" t="s">
        <v>2051</v>
      </c>
      <c r="J473" s="5" t="s">
        <v>2022</v>
      </c>
      <c r="K473" s="5" t="str">
        <f>VLOOKUP(J473,Sheet2!$A$1:$B$11,2,FALSE)</f>
        <v>Sportswear</v>
      </c>
      <c r="L473" s="5">
        <v>1</v>
      </c>
      <c r="M473" s="6">
        <v>845</v>
      </c>
      <c r="N473" s="6">
        <v>845</v>
      </c>
      <c r="O473" s="7">
        <v>0.1</v>
      </c>
      <c r="P473" s="8">
        <f t="shared" si="14"/>
        <v>84.5</v>
      </c>
      <c r="Q473" s="9">
        <f t="shared" si="15"/>
        <v>760.5</v>
      </c>
      <c r="R473" s="5">
        <v>15</v>
      </c>
      <c r="S473" s="5" t="s">
        <v>2033</v>
      </c>
      <c r="T473" s="5" t="s">
        <v>2037</v>
      </c>
    </row>
    <row r="474" spans="1:20" x14ac:dyDescent="0.25">
      <c r="A474" s="5" t="s">
        <v>487</v>
      </c>
      <c r="B474" s="10">
        <v>45394</v>
      </c>
      <c r="C474" s="5" t="s">
        <v>1014</v>
      </c>
      <c r="D474" s="11" t="s">
        <v>1492</v>
      </c>
      <c r="E474" s="5" t="s">
        <v>2528</v>
      </c>
      <c r="F474" s="5">
        <v>24</v>
      </c>
      <c r="G474" s="5" t="str" cm="1">
        <f t="array" ref="G474">_xlfn.IFS(F474&lt;12,"Child",F474&lt;18,"Teen",F474&lt;25,"Young",F474&lt;40,"Adult",F474&lt;60,"Middle Age",F474&gt;=60,"Old")</f>
        <v>Young</v>
      </c>
      <c r="H474" s="5" t="s">
        <v>2043</v>
      </c>
      <c r="I474" s="5" t="s">
        <v>2052</v>
      </c>
      <c r="J474" s="5" t="s">
        <v>2021</v>
      </c>
      <c r="K474" s="5" t="str">
        <f>VLOOKUP(J474,Sheet2!$A$1:$B$11,2,FALSE)</f>
        <v>Casual Wear</v>
      </c>
      <c r="L474" s="5">
        <v>1</v>
      </c>
      <c r="M474" s="6">
        <v>577</v>
      </c>
      <c r="N474" s="6">
        <v>577</v>
      </c>
      <c r="O474" s="7">
        <v>0.2</v>
      </c>
      <c r="P474" s="8">
        <f t="shared" si="14"/>
        <v>115.4</v>
      </c>
      <c r="Q474" s="9">
        <f t="shared" si="15"/>
        <v>461.6</v>
      </c>
      <c r="R474" s="5">
        <v>9</v>
      </c>
      <c r="S474" s="5" t="s">
        <v>2034</v>
      </c>
      <c r="T474" s="5" t="s">
        <v>2036</v>
      </c>
    </row>
    <row r="475" spans="1:20" x14ac:dyDescent="0.25">
      <c r="A475" s="5" t="s">
        <v>488</v>
      </c>
      <c r="B475" s="10">
        <v>45556</v>
      </c>
      <c r="C475" s="5" t="s">
        <v>1020</v>
      </c>
      <c r="D475" s="11" t="s">
        <v>1493</v>
      </c>
      <c r="E475" s="5" t="s">
        <v>2529</v>
      </c>
      <c r="F475" s="5">
        <v>56</v>
      </c>
      <c r="G475" s="5" t="str" cm="1">
        <f t="array" ref="G475">_xlfn.IFS(F475&lt;12,"Child",F475&lt;18,"Teen",F475&lt;25,"Young",F475&lt;40,"Adult",F475&lt;60,"Middle Age",F475&gt;=60,"Old")</f>
        <v>Middle Age</v>
      </c>
      <c r="H475" s="5" t="s">
        <v>2043</v>
      </c>
      <c r="I475" s="5" t="s">
        <v>2053</v>
      </c>
      <c r="J475" s="5" t="s">
        <v>2020</v>
      </c>
      <c r="K475" s="5" t="str">
        <f>VLOOKUP(J475,Sheet2!$A$1:$B$11,2,FALSE)</f>
        <v>Summer Wear</v>
      </c>
      <c r="L475" s="5">
        <v>3</v>
      </c>
      <c r="M475" s="6">
        <v>943</v>
      </c>
      <c r="N475" s="6">
        <v>2829</v>
      </c>
      <c r="O475" s="7">
        <v>0</v>
      </c>
      <c r="P475" s="8">
        <f t="shared" si="14"/>
        <v>0</v>
      </c>
      <c r="Q475" s="9">
        <f t="shared" si="15"/>
        <v>2829</v>
      </c>
      <c r="R475" s="5">
        <v>56</v>
      </c>
      <c r="S475" s="5" t="s">
        <v>2032</v>
      </c>
      <c r="T475" s="5" t="s">
        <v>2036</v>
      </c>
    </row>
    <row r="476" spans="1:20" x14ac:dyDescent="0.25">
      <c r="A476" s="5" t="s">
        <v>489</v>
      </c>
      <c r="B476" s="10">
        <v>45466</v>
      </c>
      <c r="C476" s="5" t="s">
        <v>1015</v>
      </c>
      <c r="D476" s="11" t="s">
        <v>1494</v>
      </c>
      <c r="E476" s="5" t="s">
        <v>2530</v>
      </c>
      <c r="F476" s="5">
        <v>25</v>
      </c>
      <c r="G476" s="5" t="str" cm="1">
        <f t="array" ref="G476">_xlfn.IFS(F476&lt;12,"Child",F476&lt;18,"Teen",F476&lt;25,"Young",F476&lt;40,"Adult",F476&lt;60,"Middle Age",F476&gt;=60,"Old")</f>
        <v>Adult</v>
      </c>
      <c r="H476" s="5" t="s">
        <v>2043</v>
      </c>
      <c r="I476" s="5" t="s">
        <v>2048</v>
      </c>
      <c r="J476" s="5" t="s">
        <v>2025</v>
      </c>
      <c r="K476" s="5" t="str">
        <f>VLOOKUP(J476,Sheet2!$A$1:$B$11,2,FALSE)</f>
        <v>Formal Wear</v>
      </c>
      <c r="L476" s="5">
        <v>1</v>
      </c>
      <c r="M476" s="6">
        <v>1030</v>
      </c>
      <c r="N476" s="6">
        <v>1030</v>
      </c>
      <c r="O476" s="7">
        <v>0.1</v>
      </c>
      <c r="P476" s="8">
        <f t="shared" si="14"/>
        <v>103</v>
      </c>
      <c r="Q476" s="9">
        <f t="shared" si="15"/>
        <v>927</v>
      </c>
      <c r="R476" s="5">
        <v>18</v>
      </c>
      <c r="S476" s="5" t="s">
        <v>2034</v>
      </c>
      <c r="T476" s="5" t="s">
        <v>2037</v>
      </c>
    </row>
    <row r="477" spans="1:20" x14ac:dyDescent="0.25">
      <c r="A477" s="5" t="s">
        <v>490</v>
      </c>
      <c r="B477" s="10">
        <v>45668</v>
      </c>
      <c r="C477" s="5" t="s">
        <v>1020</v>
      </c>
      <c r="D477" s="11" t="s">
        <v>1495</v>
      </c>
      <c r="E477" s="5" t="s">
        <v>2531</v>
      </c>
      <c r="F477" s="5">
        <v>18</v>
      </c>
      <c r="G477" s="5" t="str" cm="1">
        <f t="array" ref="G477">_xlfn.IFS(F477&lt;12,"Child",F477&lt;18,"Teen",F477&lt;25,"Young",F477&lt;40,"Adult",F477&lt;60,"Middle Age",F477&gt;=60,"Old")</f>
        <v>Young</v>
      </c>
      <c r="H477" s="5" t="s">
        <v>2044</v>
      </c>
      <c r="I477" s="5" t="s">
        <v>2045</v>
      </c>
      <c r="J477" s="5" t="s">
        <v>2022</v>
      </c>
      <c r="K477" s="5" t="str">
        <f>VLOOKUP(J477,Sheet2!$A$1:$B$11,2,FALSE)</f>
        <v>Sportswear</v>
      </c>
      <c r="L477" s="5">
        <v>3</v>
      </c>
      <c r="M477" s="6">
        <v>1083</v>
      </c>
      <c r="N477" s="6">
        <v>3249</v>
      </c>
      <c r="O477" s="7">
        <v>0</v>
      </c>
      <c r="P477" s="8">
        <f t="shared" si="14"/>
        <v>0</v>
      </c>
      <c r="Q477" s="9">
        <f t="shared" si="15"/>
        <v>3249</v>
      </c>
      <c r="R477" s="5">
        <v>64</v>
      </c>
      <c r="S477" s="5" t="s">
        <v>2032</v>
      </c>
      <c r="T477" s="5" t="s">
        <v>2036</v>
      </c>
    </row>
    <row r="478" spans="1:20" x14ac:dyDescent="0.25">
      <c r="A478" s="5" t="s">
        <v>491</v>
      </c>
      <c r="B478" s="10">
        <v>45386</v>
      </c>
      <c r="C478" s="5" t="s">
        <v>1018</v>
      </c>
      <c r="D478" s="11" t="s">
        <v>1496</v>
      </c>
      <c r="E478" s="5" t="s">
        <v>2532</v>
      </c>
      <c r="F478" s="5">
        <v>35</v>
      </c>
      <c r="G478" s="5" t="str" cm="1">
        <f t="array" ref="G478">_xlfn.IFS(F478&lt;12,"Child",F478&lt;18,"Teen",F478&lt;25,"Young",F478&lt;40,"Adult",F478&lt;60,"Middle Age",F478&gt;=60,"Old")</f>
        <v>Adult</v>
      </c>
      <c r="H478" s="5" t="s">
        <v>2043</v>
      </c>
      <c r="I478" s="5" t="s">
        <v>2050</v>
      </c>
      <c r="J478" s="5" t="s">
        <v>2023</v>
      </c>
      <c r="K478" s="5" t="str">
        <f>VLOOKUP(J478,Sheet2!$A$1:$B$11,2,FALSE)</f>
        <v>Formal Wear</v>
      </c>
      <c r="L478" s="5">
        <v>5</v>
      </c>
      <c r="M478" s="6">
        <v>246</v>
      </c>
      <c r="N478" s="6">
        <v>1230</v>
      </c>
      <c r="O478" s="7">
        <v>0</v>
      </c>
      <c r="P478" s="8">
        <f t="shared" si="14"/>
        <v>0</v>
      </c>
      <c r="Q478" s="9">
        <f t="shared" si="15"/>
        <v>1230</v>
      </c>
      <c r="R478" s="5">
        <v>24</v>
      </c>
      <c r="S478" s="5" t="s">
        <v>2034</v>
      </c>
      <c r="T478" s="5" t="s">
        <v>2036</v>
      </c>
    </row>
    <row r="479" spans="1:20" x14ac:dyDescent="0.25">
      <c r="A479" s="5" t="s">
        <v>492</v>
      </c>
      <c r="B479" s="10">
        <v>45443</v>
      </c>
      <c r="C479" s="5" t="s">
        <v>1014</v>
      </c>
      <c r="D479" s="11" t="s">
        <v>1497</v>
      </c>
      <c r="E479" s="5" t="s">
        <v>2533</v>
      </c>
      <c r="F479" s="5">
        <v>50</v>
      </c>
      <c r="G479" s="5" t="str" cm="1">
        <f t="array" ref="G479">_xlfn.IFS(F479&lt;12,"Child",F479&lt;18,"Teen",F479&lt;25,"Young",F479&lt;40,"Adult",F479&lt;60,"Middle Age",F479&gt;=60,"Old")</f>
        <v>Middle Age</v>
      </c>
      <c r="H479" s="5" t="s">
        <v>2043</v>
      </c>
      <c r="I479" s="5" t="s">
        <v>2047</v>
      </c>
      <c r="J479" s="5" t="s">
        <v>2025</v>
      </c>
      <c r="K479" s="5" t="str">
        <f>VLOOKUP(J479,Sheet2!$A$1:$B$11,2,FALSE)</f>
        <v>Formal Wear</v>
      </c>
      <c r="L479" s="5">
        <v>1</v>
      </c>
      <c r="M479" s="6">
        <v>269</v>
      </c>
      <c r="N479" s="6">
        <v>269</v>
      </c>
      <c r="O479" s="7">
        <v>0.2</v>
      </c>
      <c r="P479" s="8">
        <f t="shared" si="14"/>
        <v>53.800000000000004</v>
      </c>
      <c r="Q479" s="9">
        <f t="shared" si="15"/>
        <v>215.2</v>
      </c>
      <c r="R479" s="5">
        <v>4</v>
      </c>
      <c r="S479" s="5" t="s">
        <v>2033</v>
      </c>
      <c r="T479" s="5" t="s">
        <v>2036</v>
      </c>
    </row>
    <row r="480" spans="1:20" x14ac:dyDescent="0.25">
      <c r="A480" s="5" t="s">
        <v>493</v>
      </c>
      <c r="B480" s="10">
        <v>45596</v>
      </c>
      <c r="C480" s="5" t="s">
        <v>1018</v>
      </c>
      <c r="D480" s="11" t="s">
        <v>1498</v>
      </c>
      <c r="E480" s="5" t="s">
        <v>2534</v>
      </c>
      <c r="F480" s="5">
        <v>59</v>
      </c>
      <c r="G480" s="5" t="str" cm="1">
        <f t="array" ref="G480">_xlfn.IFS(F480&lt;12,"Child",F480&lt;18,"Teen",F480&lt;25,"Young",F480&lt;40,"Adult",F480&lt;60,"Middle Age",F480&gt;=60,"Old")</f>
        <v>Middle Age</v>
      </c>
      <c r="H480" s="5" t="s">
        <v>2043</v>
      </c>
      <c r="I480" s="5" t="s">
        <v>2052</v>
      </c>
      <c r="J480" s="5" t="s">
        <v>2022</v>
      </c>
      <c r="K480" s="5" t="str">
        <f>VLOOKUP(J480,Sheet2!$A$1:$B$11,2,FALSE)</f>
        <v>Sportswear</v>
      </c>
      <c r="L480" s="5">
        <v>5</v>
      </c>
      <c r="M480" s="6">
        <v>1071</v>
      </c>
      <c r="N480" s="6">
        <v>5355</v>
      </c>
      <c r="O480" s="7">
        <v>0.15</v>
      </c>
      <c r="P480" s="8">
        <f t="shared" si="14"/>
        <v>803.25</v>
      </c>
      <c r="Q480" s="9">
        <f t="shared" si="15"/>
        <v>4551.75</v>
      </c>
      <c r="R480" s="5">
        <v>91</v>
      </c>
      <c r="S480" s="5" t="s">
        <v>2033</v>
      </c>
      <c r="T480" s="5" t="s">
        <v>2036</v>
      </c>
    </row>
    <row r="481" spans="1:20" x14ac:dyDescent="0.25">
      <c r="A481" s="5" t="s">
        <v>494</v>
      </c>
      <c r="B481" s="10">
        <v>45432</v>
      </c>
      <c r="C481" s="5" t="s">
        <v>1016</v>
      </c>
      <c r="D481" s="11" t="s">
        <v>1499</v>
      </c>
      <c r="E481" s="5" t="s">
        <v>2535</v>
      </c>
      <c r="F481" s="5">
        <v>45</v>
      </c>
      <c r="G481" s="5" t="str" cm="1">
        <f t="array" ref="G481">_xlfn.IFS(F481&lt;12,"Child",F481&lt;18,"Teen",F481&lt;25,"Young",F481&lt;40,"Adult",F481&lt;60,"Middle Age",F481&gt;=60,"Old")</f>
        <v>Middle Age</v>
      </c>
      <c r="H481" s="5" t="s">
        <v>2043</v>
      </c>
      <c r="I481" s="5" t="s">
        <v>2015</v>
      </c>
      <c r="J481" s="5" t="s">
        <v>2025</v>
      </c>
      <c r="K481" s="5" t="str">
        <f>VLOOKUP(J481,Sheet2!$A$1:$B$11,2,FALSE)</f>
        <v>Formal Wear</v>
      </c>
      <c r="L481" s="5">
        <v>3</v>
      </c>
      <c r="M481" s="6">
        <v>271</v>
      </c>
      <c r="N481" s="6">
        <v>813</v>
      </c>
      <c r="O481" s="7">
        <v>0.15</v>
      </c>
      <c r="P481" s="8">
        <f t="shared" si="14"/>
        <v>121.94999999999999</v>
      </c>
      <c r="Q481" s="9">
        <f t="shared" si="15"/>
        <v>691.05</v>
      </c>
      <c r="R481" s="5">
        <v>13</v>
      </c>
      <c r="S481" s="5" t="s">
        <v>2034</v>
      </c>
      <c r="T481" s="5" t="s">
        <v>2036</v>
      </c>
    </row>
    <row r="482" spans="1:20" x14ac:dyDescent="0.25">
      <c r="A482" s="5" t="s">
        <v>495</v>
      </c>
      <c r="B482" s="10">
        <v>45506</v>
      </c>
      <c r="C482" s="5" t="s">
        <v>1014</v>
      </c>
      <c r="D482" s="11" t="s">
        <v>1500</v>
      </c>
      <c r="E482" s="5" t="s">
        <v>2536</v>
      </c>
      <c r="F482" s="5">
        <v>34</v>
      </c>
      <c r="G482" s="5" t="str" cm="1">
        <f t="array" ref="G482">_xlfn.IFS(F482&lt;12,"Child",F482&lt;18,"Teen",F482&lt;25,"Young",F482&lt;40,"Adult",F482&lt;60,"Middle Age",F482&gt;=60,"Old")</f>
        <v>Adult</v>
      </c>
      <c r="H482" s="5" t="s">
        <v>2043</v>
      </c>
      <c r="I482" s="5" t="s">
        <v>2050</v>
      </c>
      <c r="J482" s="5" t="s">
        <v>2025</v>
      </c>
      <c r="K482" s="5" t="str">
        <f>VLOOKUP(J482,Sheet2!$A$1:$B$11,2,FALSE)</f>
        <v>Formal Wear</v>
      </c>
      <c r="L482" s="5">
        <v>5</v>
      </c>
      <c r="M482" s="6">
        <v>560</v>
      </c>
      <c r="N482" s="6">
        <v>2800</v>
      </c>
      <c r="O482" s="7">
        <v>0.05</v>
      </c>
      <c r="P482" s="8">
        <f t="shared" si="14"/>
        <v>140</v>
      </c>
      <c r="Q482" s="9">
        <f t="shared" si="15"/>
        <v>2660</v>
      </c>
      <c r="R482" s="5">
        <v>53</v>
      </c>
      <c r="S482" s="5" t="s">
        <v>2032</v>
      </c>
      <c r="T482" s="5" t="s">
        <v>2037</v>
      </c>
    </row>
    <row r="483" spans="1:20" x14ac:dyDescent="0.25">
      <c r="A483" s="5" t="s">
        <v>496</v>
      </c>
      <c r="B483" s="10">
        <v>45410</v>
      </c>
      <c r="C483" s="5" t="s">
        <v>1015</v>
      </c>
      <c r="D483" s="11" t="s">
        <v>1501</v>
      </c>
      <c r="E483" s="5" t="s">
        <v>2537</v>
      </c>
      <c r="F483" s="5">
        <v>29</v>
      </c>
      <c r="G483" s="5" t="str" cm="1">
        <f t="array" ref="G483">_xlfn.IFS(F483&lt;12,"Child",F483&lt;18,"Teen",F483&lt;25,"Young",F483&lt;40,"Adult",F483&lt;60,"Middle Age",F483&gt;=60,"Old")</f>
        <v>Adult</v>
      </c>
      <c r="H483" s="5" t="s">
        <v>2044</v>
      </c>
      <c r="I483" s="5" t="s">
        <v>2047</v>
      </c>
      <c r="J483" s="5" t="s">
        <v>2024</v>
      </c>
      <c r="K483" s="5" t="str">
        <f>VLOOKUP(J483,Sheet2!$A$1:$B$11,2,FALSE)</f>
        <v>Fashion Accessories</v>
      </c>
      <c r="L483" s="5">
        <v>2</v>
      </c>
      <c r="M483" s="6">
        <v>1185</v>
      </c>
      <c r="N483" s="6">
        <v>2370</v>
      </c>
      <c r="O483" s="7">
        <v>0.1</v>
      </c>
      <c r="P483" s="8">
        <f t="shared" si="14"/>
        <v>237</v>
      </c>
      <c r="Q483" s="9">
        <f t="shared" si="15"/>
        <v>2133</v>
      </c>
      <c r="R483" s="5">
        <v>42</v>
      </c>
      <c r="S483" s="5" t="s">
        <v>2034</v>
      </c>
      <c r="T483" s="5" t="s">
        <v>2035</v>
      </c>
    </row>
    <row r="484" spans="1:20" x14ac:dyDescent="0.25">
      <c r="A484" s="5" t="s">
        <v>497</v>
      </c>
      <c r="B484" s="10">
        <v>45611</v>
      </c>
      <c r="C484" s="5" t="s">
        <v>1014</v>
      </c>
      <c r="D484" s="11" t="s">
        <v>1502</v>
      </c>
      <c r="E484" s="5" t="s">
        <v>2538</v>
      </c>
      <c r="F484" s="5">
        <v>41</v>
      </c>
      <c r="G484" s="5" t="str" cm="1">
        <f t="array" ref="G484">_xlfn.IFS(F484&lt;12,"Child",F484&lt;18,"Teen",F484&lt;25,"Young",F484&lt;40,"Adult",F484&lt;60,"Middle Age",F484&gt;=60,"Old")</f>
        <v>Middle Age</v>
      </c>
      <c r="H484" s="5" t="s">
        <v>2043</v>
      </c>
      <c r="I484" s="5" t="s">
        <v>2045</v>
      </c>
      <c r="J484" s="5" t="s">
        <v>2017</v>
      </c>
      <c r="K484" s="5" t="str">
        <f>VLOOKUP(J484,Sheet2!$A$1:$B$11,2,FALSE)</f>
        <v>Casual Wear</v>
      </c>
      <c r="L484" s="5">
        <v>3</v>
      </c>
      <c r="M484" s="6">
        <v>884</v>
      </c>
      <c r="N484" s="6">
        <v>2652</v>
      </c>
      <c r="O484" s="7">
        <v>0.2</v>
      </c>
      <c r="P484" s="8">
        <f t="shared" si="14"/>
        <v>530.4</v>
      </c>
      <c r="Q484" s="9">
        <f t="shared" si="15"/>
        <v>2121.6</v>
      </c>
      <c r="R484" s="5">
        <v>42</v>
      </c>
      <c r="S484" s="5" t="s">
        <v>2033</v>
      </c>
      <c r="T484" s="5" t="s">
        <v>2035</v>
      </c>
    </row>
    <row r="485" spans="1:20" x14ac:dyDescent="0.25">
      <c r="A485" s="5" t="s">
        <v>498</v>
      </c>
      <c r="B485" s="10">
        <v>45439</v>
      </c>
      <c r="C485" s="5" t="s">
        <v>1016</v>
      </c>
      <c r="D485" s="11" t="s">
        <v>1503</v>
      </c>
      <c r="E485" s="5" t="s">
        <v>2539</v>
      </c>
      <c r="F485" s="5">
        <v>59</v>
      </c>
      <c r="G485" s="5" t="str" cm="1">
        <f t="array" ref="G485">_xlfn.IFS(F485&lt;12,"Child",F485&lt;18,"Teen",F485&lt;25,"Young",F485&lt;40,"Adult",F485&lt;60,"Middle Age",F485&gt;=60,"Old")</f>
        <v>Middle Age</v>
      </c>
      <c r="H485" s="5" t="s">
        <v>2044</v>
      </c>
      <c r="I485" s="5" t="s">
        <v>2048</v>
      </c>
      <c r="J485" s="5" t="s">
        <v>2021</v>
      </c>
      <c r="K485" s="5" t="str">
        <f>VLOOKUP(J485,Sheet2!$A$1:$B$11,2,FALSE)</f>
        <v>Casual Wear</v>
      </c>
      <c r="L485" s="5">
        <v>2</v>
      </c>
      <c r="M485" s="6">
        <v>449</v>
      </c>
      <c r="N485" s="6">
        <v>898</v>
      </c>
      <c r="O485" s="7">
        <v>0</v>
      </c>
      <c r="P485" s="8">
        <f t="shared" si="14"/>
        <v>0</v>
      </c>
      <c r="Q485" s="9">
        <f t="shared" si="15"/>
        <v>898</v>
      </c>
      <c r="R485" s="5">
        <v>17</v>
      </c>
      <c r="S485" s="5" t="s">
        <v>2033</v>
      </c>
      <c r="T485" s="5" t="s">
        <v>2035</v>
      </c>
    </row>
    <row r="486" spans="1:20" x14ac:dyDescent="0.25">
      <c r="A486" s="5" t="s">
        <v>499</v>
      </c>
      <c r="B486" s="10">
        <v>45454</v>
      </c>
      <c r="C486" s="5" t="s">
        <v>1019</v>
      </c>
      <c r="D486" s="11" t="s">
        <v>1504</v>
      </c>
      <c r="E486" s="5" t="s">
        <v>2540</v>
      </c>
      <c r="F486" s="5">
        <v>25</v>
      </c>
      <c r="G486" s="5" t="str" cm="1">
        <f t="array" ref="G486">_xlfn.IFS(F486&lt;12,"Child",F486&lt;18,"Teen",F486&lt;25,"Young",F486&lt;40,"Adult",F486&lt;60,"Middle Age",F486&gt;=60,"Old")</f>
        <v>Adult</v>
      </c>
      <c r="H486" s="5" t="s">
        <v>2044</v>
      </c>
      <c r="I486" s="5" t="s">
        <v>2045</v>
      </c>
      <c r="J486" s="5" t="s">
        <v>2021</v>
      </c>
      <c r="K486" s="5" t="str">
        <f>VLOOKUP(J486,Sheet2!$A$1:$B$11,2,FALSE)</f>
        <v>Casual Wear</v>
      </c>
      <c r="L486" s="5">
        <v>5</v>
      </c>
      <c r="M486" s="6">
        <v>1122</v>
      </c>
      <c r="N486" s="6">
        <v>5610</v>
      </c>
      <c r="O486" s="7">
        <v>0.05</v>
      </c>
      <c r="P486" s="8">
        <f t="shared" si="14"/>
        <v>280.5</v>
      </c>
      <c r="Q486" s="9">
        <f t="shared" si="15"/>
        <v>5329.5</v>
      </c>
      <c r="R486" s="5">
        <v>106</v>
      </c>
      <c r="S486" s="5" t="s">
        <v>2034</v>
      </c>
      <c r="T486" s="5" t="s">
        <v>2035</v>
      </c>
    </row>
    <row r="487" spans="1:20" x14ac:dyDescent="0.25">
      <c r="A487" s="5" t="s">
        <v>500</v>
      </c>
      <c r="B487" s="10">
        <v>45702</v>
      </c>
      <c r="C487" s="5" t="s">
        <v>1014</v>
      </c>
      <c r="D487" s="11" t="s">
        <v>1505</v>
      </c>
      <c r="E487" s="5" t="s">
        <v>2541</v>
      </c>
      <c r="F487" s="5">
        <v>37</v>
      </c>
      <c r="G487" s="5" t="str" cm="1">
        <f t="array" ref="G487">_xlfn.IFS(F487&lt;12,"Child",F487&lt;18,"Teen",F487&lt;25,"Young",F487&lt;40,"Adult",F487&lt;60,"Middle Age",F487&gt;=60,"Old")</f>
        <v>Adult</v>
      </c>
      <c r="H487" s="5" t="s">
        <v>2044</v>
      </c>
      <c r="I487" s="5" t="s">
        <v>2048</v>
      </c>
      <c r="J487" s="5" t="s">
        <v>2018</v>
      </c>
      <c r="K487" s="5" t="str">
        <f>VLOOKUP(J487,Sheet2!$A$1:$B$11,2,FALSE)</f>
        <v>Sportswear</v>
      </c>
      <c r="L487" s="5">
        <v>5</v>
      </c>
      <c r="M487" s="6">
        <v>880</v>
      </c>
      <c r="N487" s="6">
        <v>4400</v>
      </c>
      <c r="O487" s="7">
        <v>0</v>
      </c>
      <c r="P487" s="8">
        <f t="shared" si="14"/>
        <v>0</v>
      </c>
      <c r="Q487" s="9">
        <f t="shared" si="15"/>
        <v>4400</v>
      </c>
      <c r="R487" s="5">
        <v>88</v>
      </c>
      <c r="S487" s="5" t="s">
        <v>2032</v>
      </c>
      <c r="T487" s="5" t="s">
        <v>2035</v>
      </c>
    </row>
    <row r="488" spans="1:20" x14ac:dyDescent="0.25">
      <c r="A488" s="5" t="s">
        <v>501</v>
      </c>
      <c r="B488" s="10">
        <v>45393</v>
      </c>
      <c r="C488" s="5" t="s">
        <v>1018</v>
      </c>
      <c r="D488" s="11" t="s">
        <v>1506</v>
      </c>
      <c r="E488" s="5" t="s">
        <v>2542</v>
      </c>
      <c r="F488" s="5">
        <v>48</v>
      </c>
      <c r="G488" s="5" t="str" cm="1">
        <f t="array" ref="G488">_xlfn.IFS(F488&lt;12,"Child",F488&lt;18,"Teen",F488&lt;25,"Young",F488&lt;40,"Adult",F488&lt;60,"Middle Age",F488&gt;=60,"Old")</f>
        <v>Middle Age</v>
      </c>
      <c r="H488" s="5" t="s">
        <v>2044</v>
      </c>
      <c r="I488" s="5" t="s">
        <v>2045</v>
      </c>
      <c r="J488" s="5" t="s">
        <v>2023</v>
      </c>
      <c r="K488" s="5" t="str">
        <f>VLOOKUP(J488,Sheet2!$A$1:$B$11,2,FALSE)</f>
        <v>Formal Wear</v>
      </c>
      <c r="L488" s="5">
        <v>2</v>
      </c>
      <c r="M488" s="6">
        <v>917</v>
      </c>
      <c r="N488" s="6">
        <v>1834</v>
      </c>
      <c r="O488" s="7">
        <v>0</v>
      </c>
      <c r="P488" s="8">
        <f t="shared" si="14"/>
        <v>0</v>
      </c>
      <c r="Q488" s="9">
        <f t="shared" si="15"/>
        <v>1834</v>
      </c>
      <c r="R488" s="5">
        <v>36</v>
      </c>
      <c r="S488" s="5" t="s">
        <v>2034</v>
      </c>
      <c r="T488" s="5" t="s">
        <v>2036</v>
      </c>
    </row>
    <row r="489" spans="1:20" x14ac:dyDescent="0.25">
      <c r="A489" s="5" t="s">
        <v>502</v>
      </c>
      <c r="B489" s="10">
        <v>45360</v>
      </c>
      <c r="C489" s="5" t="s">
        <v>1020</v>
      </c>
      <c r="D489" s="11" t="s">
        <v>1507</v>
      </c>
      <c r="E489" s="5" t="s">
        <v>2543</v>
      </c>
      <c r="F489" s="5">
        <v>22</v>
      </c>
      <c r="G489" s="5" t="str" cm="1">
        <f t="array" ref="G489">_xlfn.IFS(F489&lt;12,"Child",F489&lt;18,"Teen",F489&lt;25,"Young",F489&lt;40,"Adult",F489&lt;60,"Middle Age",F489&gt;=60,"Old")</f>
        <v>Young</v>
      </c>
      <c r="H489" s="5" t="s">
        <v>2044</v>
      </c>
      <c r="I489" s="5" t="s">
        <v>2051</v>
      </c>
      <c r="J489" s="5" t="s">
        <v>2025</v>
      </c>
      <c r="K489" s="5" t="str">
        <f>VLOOKUP(J489,Sheet2!$A$1:$B$11,2,FALSE)</f>
        <v>Formal Wear</v>
      </c>
      <c r="L489" s="5">
        <v>1</v>
      </c>
      <c r="M489" s="6">
        <v>232</v>
      </c>
      <c r="N489" s="6">
        <v>232</v>
      </c>
      <c r="O489" s="7">
        <v>0.05</v>
      </c>
      <c r="P489" s="8">
        <f t="shared" si="14"/>
        <v>11.600000000000001</v>
      </c>
      <c r="Q489" s="9">
        <f t="shared" si="15"/>
        <v>220.4</v>
      </c>
      <c r="R489" s="5">
        <v>4</v>
      </c>
      <c r="S489" s="5" t="s">
        <v>2034</v>
      </c>
      <c r="T489" s="5" t="s">
        <v>2037</v>
      </c>
    </row>
    <row r="490" spans="1:20" x14ac:dyDescent="0.25">
      <c r="A490" s="5" t="s">
        <v>503</v>
      </c>
      <c r="B490" s="10">
        <v>45587</v>
      </c>
      <c r="C490" s="5" t="s">
        <v>1019</v>
      </c>
      <c r="D490" s="11" t="s">
        <v>1508</v>
      </c>
      <c r="E490" s="5" t="s">
        <v>2544</v>
      </c>
      <c r="F490" s="5">
        <v>25</v>
      </c>
      <c r="G490" s="5" t="str" cm="1">
        <f t="array" ref="G490">_xlfn.IFS(F490&lt;12,"Child",F490&lt;18,"Teen",F490&lt;25,"Young",F490&lt;40,"Adult",F490&lt;60,"Middle Age",F490&gt;=60,"Old")</f>
        <v>Adult</v>
      </c>
      <c r="H490" s="5" t="s">
        <v>2044</v>
      </c>
      <c r="I490" s="5" t="s">
        <v>2046</v>
      </c>
      <c r="J490" s="5" t="s">
        <v>2024</v>
      </c>
      <c r="K490" s="5" t="str">
        <f>VLOOKUP(J490,Sheet2!$A$1:$B$11,2,FALSE)</f>
        <v>Fashion Accessories</v>
      </c>
      <c r="L490" s="5">
        <v>4</v>
      </c>
      <c r="M490" s="6">
        <v>344</v>
      </c>
      <c r="N490" s="6">
        <v>1376</v>
      </c>
      <c r="O490" s="7">
        <v>0.2</v>
      </c>
      <c r="P490" s="8">
        <f t="shared" si="14"/>
        <v>275.2</v>
      </c>
      <c r="Q490" s="9">
        <f t="shared" si="15"/>
        <v>1100.8</v>
      </c>
      <c r="R490" s="5">
        <v>22</v>
      </c>
      <c r="S490" s="5" t="s">
        <v>2032</v>
      </c>
      <c r="T490" s="5" t="s">
        <v>2036</v>
      </c>
    </row>
    <row r="491" spans="1:20" x14ac:dyDescent="0.25">
      <c r="A491" s="5" t="s">
        <v>504</v>
      </c>
      <c r="B491" s="10">
        <v>45374</v>
      </c>
      <c r="C491" s="5" t="s">
        <v>1020</v>
      </c>
      <c r="D491" s="11" t="s">
        <v>1509</v>
      </c>
      <c r="E491" s="5" t="s">
        <v>2545</v>
      </c>
      <c r="F491" s="5">
        <v>51</v>
      </c>
      <c r="G491" s="5" t="str" cm="1">
        <f t="array" ref="G491">_xlfn.IFS(F491&lt;12,"Child",F491&lt;18,"Teen",F491&lt;25,"Young",F491&lt;40,"Adult",F491&lt;60,"Middle Age",F491&gt;=60,"Old")</f>
        <v>Middle Age</v>
      </c>
      <c r="H491" s="5" t="s">
        <v>2044</v>
      </c>
      <c r="I491" s="5" t="s">
        <v>2049</v>
      </c>
      <c r="J491" s="5" t="s">
        <v>2016</v>
      </c>
      <c r="K491" s="5" t="str">
        <f>VLOOKUP(J491,Sheet2!$A$1:$B$11,2,FALSE)</f>
        <v>Winter Wear</v>
      </c>
      <c r="L491" s="5">
        <v>5</v>
      </c>
      <c r="M491" s="6">
        <v>803</v>
      </c>
      <c r="N491" s="6">
        <v>4015</v>
      </c>
      <c r="O491" s="7">
        <v>0.15</v>
      </c>
      <c r="P491" s="8">
        <f t="shared" si="14"/>
        <v>602.25</v>
      </c>
      <c r="Q491" s="9">
        <f t="shared" si="15"/>
        <v>3412.75</v>
      </c>
      <c r="R491" s="5">
        <v>68</v>
      </c>
      <c r="S491" s="5" t="s">
        <v>2033</v>
      </c>
      <c r="T491" s="5" t="s">
        <v>2036</v>
      </c>
    </row>
    <row r="492" spans="1:20" x14ac:dyDescent="0.25">
      <c r="A492" s="5" t="s">
        <v>505</v>
      </c>
      <c r="B492" s="10">
        <v>45549</v>
      </c>
      <c r="C492" s="5" t="s">
        <v>1020</v>
      </c>
      <c r="D492" s="11" t="s">
        <v>1510</v>
      </c>
      <c r="E492" s="5" t="s">
        <v>2546</v>
      </c>
      <c r="F492" s="5">
        <v>29</v>
      </c>
      <c r="G492" s="5" t="str" cm="1">
        <f t="array" ref="G492">_xlfn.IFS(F492&lt;12,"Child",F492&lt;18,"Teen",F492&lt;25,"Young",F492&lt;40,"Adult",F492&lt;60,"Middle Age",F492&gt;=60,"Old")</f>
        <v>Adult</v>
      </c>
      <c r="H492" s="5" t="s">
        <v>2043</v>
      </c>
      <c r="I492" s="5" t="s">
        <v>2015</v>
      </c>
      <c r="J492" s="5" t="s">
        <v>2024</v>
      </c>
      <c r="K492" s="5" t="str">
        <f>VLOOKUP(J492,Sheet2!$A$1:$B$11,2,FALSE)</f>
        <v>Fashion Accessories</v>
      </c>
      <c r="L492" s="5">
        <v>1</v>
      </c>
      <c r="M492" s="6">
        <v>816</v>
      </c>
      <c r="N492" s="6">
        <v>816</v>
      </c>
      <c r="O492" s="7">
        <v>0.15</v>
      </c>
      <c r="P492" s="8">
        <f t="shared" si="14"/>
        <v>122.39999999999999</v>
      </c>
      <c r="Q492" s="9">
        <f t="shared" si="15"/>
        <v>693.6</v>
      </c>
      <c r="R492" s="5">
        <v>13</v>
      </c>
      <c r="S492" s="5" t="s">
        <v>2033</v>
      </c>
      <c r="T492" s="5" t="s">
        <v>2036</v>
      </c>
    </row>
    <row r="493" spans="1:20" x14ac:dyDescent="0.25">
      <c r="A493" s="5" t="s">
        <v>506</v>
      </c>
      <c r="B493" s="10">
        <v>45568</v>
      </c>
      <c r="C493" s="5" t="s">
        <v>1018</v>
      </c>
      <c r="D493" s="11" t="s">
        <v>1511</v>
      </c>
      <c r="E493" s="5" t="s">
        <v>2547</v>
      </c>
      <c r="F493" s="5">
        <v>20</v>
      </c>
      <c r="G493" s="5" t="str" cm="1">
        <f t="array" ref="G493">_xlfn.IFS(F493&lt;12,"Child",F493&lt;18,"Teen",F493&lt;25,"Young",F493&lt;40,"Adult",F493&lt;60,"Middle Age",F493&gt;=60,"Old")</f>
        <v>Young</v>
      </c>
      <c r="H493" s="5" t="s">
        <v>2043</v>
      </c>
      <c r="I493" s="5" t="s">
        <v>2046</v>
      </c>
      <c r="J493" s="5" t="s">
        <v>2020</v>
      </c>
      <c r="K493" s="5" t="str">
        <f>VLOOKUP(J493,Sheet2!$A$1:$B$11,2,FALSE)</f>
        <v>Summer Wear</v>
      </c>
      <c r="L493" s="5">
        <v>2</v>
      </c>
      <c r="M493" s="6">
        <v>810</v>
      </c>
      <c r="N493" s="6">
        <v>1620</v>
      </c>
      <c r="O493" s="7">
        <v>0.1</v>
      </c>
      <c r="P493" s="8">
        <f t="shared" si="14"/>
        <v>162</v>
      </c>
      <c r="Q493" s="9">
        <f t="shared" si="15"/>
        <v>1458</v>
      </c>
      <c r="R493" s="5">
        <v>29</v>
      </c>
      <c r="S493" s="5" t="s">
        <v>2033</v>
      </c>
      <c r="T493" s="5" t="s">
        <v>2037</v>
      </c>
    </row>
    <row r="494" spans="1:20" x14ac:dyDescent="0.25">
      <c r="A494" s="5" t="s">
        <v>507</v>
      </c>
      <c r="B494" s="10">
        <v>45414</v>
      </c>
      <c r="C494" s="5" t="s">
        <v>1018</v>
      </c>
      <c r="D494" s="11" t="s">
        <v>1512</v>
      </c>
      <c r="E494" s="5" t="s">
        <v>2548</v>
      </c>
      <c r="F494" s="5">
        <v>29</v>
      </c>
      <c r="G494" s="5" t="str" cm="1">
        <f t="array" ref="G494">_xlfn.IFS(F494&lt;12,"Child",F494&lt;18,"Teen",F494&lt;25,"Young",F494&lt;40,"Adult",F494&lt;60,"Middle Age",F494&gt;=60,"Old")</f>
        <v>Adult</v>
      </c>
      <c r="H494" s="5" t="s">
        <v>2043</v>
      </c>
      <c r="I494" s="5" t="s">
        <v>2053</v>
      </c>
      <c r="J494" s="5" t="s">
        <v>2024</v>
      </c>
      <c r="K494" s="5" t="str">
        <f>VLOOKUP(J494,Sheet2!$A$1:$B$11,2,FALSE)</f>
        <v>Fashion Accessories</v>
      </c>
      <c r="L494" s="5">
        <v>4</v>
      </c>
      <c r="M494" s="6">
        <v>810</v>
      </c>
      <c r="N494" s="6">
        <v>3240</v>
      </c>
      <c r="O494" s="7">
        <v>0.1</v>
      </c>
      <c r="P494" s="8">
        <f t="shared" si="14"/>
        <v>324</v>
      </c>
      <c r="Q494" s="9">
        <f t="shared" si="15"/>
        <v>2916</v>
      </c>
      <c r="R494" s="5">
        <v>58</v>
      </c>
      <c r="S494" s="5" t="s">
        <v>2034</v>
      </c>
      <c r="T494" s="5" t="s">
        <v>2035</v>
      </c>
    </row>
    <row r="495" spans="1:20" x14ac:dyDescent="0.25">
      <c r="A495" s="5" t="s">
        <v>508</v>
      </c>
      <c r="B495" s="10">
        <v>45505</v>
      </c>
      <c r="C495" s="5" t="s">
        <v>1018</v>
      </c>
      <c r="D495" s="11" t="s">
        <v>1513</v>
      </c>
      <c r="E495" s="5" t="s">
        <v>2549</v>
      </c>
      <c r="F495" s="5">
        <v>43</v>
      </c>
      <c r="G495" s="5" t="str" cm="1">
        <f t="array" ref="G495">_xlfn.IFS(F495&lt;12,"Child",F495&lt;18,"Teen",F495&lt;25,"Young",F495&lt;40,"Adult",F495&lt;60,"Middle Age",F495&gt;=60,"Old")</f>
        <v>Middle Age</v>
      </c>
      <c r="H495" s="5" t="s">
        <v>2044</v>
      </c>
      <c r="I495" s="5" t="s">
        <v>2047</v>
      </c>
      <c r="J495" s="5" t="s">
        <v>2021</v>
      </c>
      <c r="K495" s="5" t="str">
        <f>VLOOKUP(J495,Sheet2!$A$1:$B$11,2,FALSE)</f>
        <v>Casual Wear</v>
      </c>
      <c r="L495" s="5">
        <v>1</v>
      </c>
      <c r="M495" s="6">
        <v>386</v>
      </c>
      <c r="N495" s="6">
        <v>386</v>
      </c>
      <c r="O495" s="7">
        <v>0.2</v>
      </c>
      <c r="P495" s="8">
        <f t="shared" si="14"/>
        <v>77.2</v>
      </c>
      <c r="Q495" s="9">
        <f t="shared" si="15"/>
        <v>308.8</v>
      </c>
      <c r="R495" s="5">
        <v>6</v>
      </c>
      <c r="S495" s="5" t="s">
        <v>2032</v>
      </c>
      <c r="T495" s="5" t="s">
        <v>2037</v>
      </c>
    </row>
    <row r="496" spans="1:20" x14ac:dyDescent="0.25">
      <c r="A496" s="5" t="s">
        <v>509</v>
      </c>
      <c r="B496" s="10">
        <v>45605</v>
      </c>
      <c r="C496" s="5" t="s">
        <v>1020</v>
      </c>
      <c r="D496" s="11" t="s">
        <v>1514</v>
      </c>
      <c r="E496" s="5" t="s">
        <v>2550</v>
      </c>
      <c r="F496" s="5">
        <v>51</v>
      </c>
      <c r="G496" s="5" t="str" cm="1">
        <f t="array" ref="G496">_xlfn.IFS(F496&lt;12,"Child",F496&lt;18,"Teen",F496&lt;25,"Young",F496&lt;40,"Adult",F496&lt;60,"Middle Age",F496&gt;=60,"Old")</f>
        <v>Middle Age</v>
      </c>
      <c r="H496" s="5" t="s">
        <v>2043</v>
      </c>
      <c r="I496" s="5" t="s">
        <v>2053</v>
      </c>
      <c r="J496" s="5" t="s">
        <v>2016</v>
      </c>
      <c r="K496" s="5" t="str">
        <f>VLOOKUP(J496,Sheet2!$A$1:$B$11,2,FALSE)</f>
        <v>Winter Wear</v>
      </c>
      <c r="L496" s="5">
        <v>2</v>
      </c>
      <c r="M496" s="6">
        <v>927</v>
      </c>
      <c r="N496" s="6">
        <v>1854</v>
      </c>
      <c r="O496" s="7">
        <v>0.15</v>
      </c>
      <c r="P496" s="8">
        <f t="shared" si="14"/>
        <v>278.09999999999997</v>
      </c>
      <c r="Q496" s="9">
        <f t="shared" si="15"/>
        <v>1575.9</v>
      </c>
      <c r="R496" s="5">
        <v>31</v>
      </c>
      <c r="S496" s="5" t="s">
        <v>2034</v>
      </c>
      <c r="T496" s="5" t="s">
        <v>2036</v>
      </c>
    </row>
    <row r="497" spans="1:20" x14ac:dyDescent="0.25">
      <c r="A497" s="5" t="s">
        <v>510</v>
      </c>
      <c r="B497" s="10">
        <v>45464</v>
      </c>
      <c r="C497" s="5" t="s">
        <v>1014</v>
      </c>
      <c r="D497" s="11" t="s">
        <v>1515</v>
      </c>
      <c r="E497" s="5" t="s">
        <v>2551</v>
      </c>
      <c r="F497" s="5">
        <v>42</v>
      </c>
      <c r="G497" s="5" t="str" cm="1">
        <f t="array" ref="G497">_xlfn.IFS(F497&lt;12,"Child",F497&lt;18,"Teen",F497&lt;25,"Young",F497&lt;40,"Adult",F497&lt;60,"Middle Age",F497&gt;=60,"Old")</f>
        <v>Middle Age</v>
      </c>
      <c r="H497" s="5" t="s">
        <v>2044</v>
      </c>
      <c r="I497" s="5" t="s">
        <v>2047</v>
      </c>
      <c r="J497" s="5" t="s">
        <v>2016</v>
      </c>
      <c r="K497" s="5" t="str">
        <f>VLOOKUP(J497,Sheet2!$A$1:$B$11,2,FALSE)</f>
        <v>Winter Wear</v>
      </c>
      <c r="L497" s="5">
        <v>2</v>
      </c>
      <c r="M497" s="6">
        <v>624</v>
      </c>
      <c r="N497" s="6">
        <v>1248</v>
      </c>
      <c r="O497" s="7">
        <v>0.15</v>
      </c>
      <c r="P497" s="8">
        <f t="shared" si="14"/>
        <v>187.2</v>
      </c>
      <c r="Q497" s="9">
        <f t="shared" si="15"/>
        <v>1060.8</v>
      </c>
      <c r="R497" s="5">
        <v>21</v>
      </c>
      <c r="S497" s="5" t="s">
        <v>2032</v>
      </c>
      <c r="T497" s="5" t="s">
        <v>2036</v>
      </c>
    </row>
    <row r="498" spans="1:20" x14ac:dyDescent="0.25">
      <c r="A498" s="5" t="s">
        <v>511</v>
      </c>
      <c r="B498" s="10">
        <v>45457</v>
      </c>
      <c r="C498" s="5" t="s">
        <v>1014</v>
      </c>
      <c r="D498" s="11" t="s">
        <v>1516</v>
      </c>
      <c r="E498" s="5" t="s">
        <v>2552</v>
      </c>
      <c r="F498" s="5">
        <v>28</v>
      </c>
      <c r="G498" s="5" t="str" cm="1">
        <f t="array" ref="G498">_xlfn.IFS(F498&lt;12,"Child",F498&lt;18,"Teen",F498&lt;25,"Young",F498&lt;40,"Adult",F498&lt;60,"Middle Age",F498&gt;=60,"Old")</f>
        <v>Adult</v>
      </c>
      <c r="H498" s="5" t="s">
        <v>2043</v>
      </c>
      <c r="I498" s="5" t="s">
        <v>2015</v>
      </c>
      <c r="J498" s="5" t="s">
        <v>2024</v>
      </c>
      <c r="K498" s="5" t="str">
        <f>VLOOKUP(J498,Sheet2!$A$1:$B$11,2,FALSE)</f>
        <v>Fashion Accessories</v>
      </c>
      <c r="L498" s="5">
        <v>1</v>
      </c>
      <c r="M498" s="6">
        <v>233</v>
      </c>
      <c r="N498" s="6">
        <v>233</v>
      </c>
      <c r="O498" s="7">
        <v>0</v>
      </c>
      <c r="P498" s="8">
        <f t="shared" si="14"/>
        <v>0</v>
      </c>
      <c r="Q498" s="9">
        <f t="shared" si="15"/>
        <v>233</v>
      </c>
      <c r="R498" s="5">
        <v>4</v>
      </c>
      <c r="S498" s="5" t="s">
        <v>2033</v>
      </c>
      <c r="T498" s="5" t="s">
        <v>2037</v>
      </c>
    </row>
    <row r="499" spans="1:20" x14ac:dyDescent="0.25">
      <c r="A499" s="5" t="s">
        <v>512</v>
      </c>
      <c r="B499" s="10">
        <v>45486</v>
      </c>
      <c r="C499" s="5" t="s">
        <v>1020</v>
      </c>
      <c r="D499" s="11" t="s">
        <v>1517</v>
      </c>
      <c r="E499" s="5" t="s">
        <v>2553</v>
      </c>
      <c r="F499" s="5">
        <v>51</v>
      </c>
      <c r="G499" s="5" t="str" cm="1">
        <f t="array" ref="G499">_xlfn.IFS(F499&lt;12,"Child",F499&lt;18,"Teen",F499&lt;25,"Young",F499&lt;40,"Adult",F499&lt;60,"Middle Age",F499&gt;=60,"Old")</f>
        <v>Middle Age</v>
      </c>
      <c r="H499" s="5" t="s">
        <v>2043</v>
      </c>
      <c r="I499" s="5" t="s">
        <v>2053</v>
      </c>
      <c r="J499" s="5" t="s">
        <v>2023</v>
      </c>
      <c r="K499" s="5" t="str">
        <f>VLOOKUP(J499,Sheet2!$A$1:$B$11,2,FALSE)</f>
        <v>Formal Wear</v>
      </c>
      <c r="L499" s="5">
        <v>2</v>
      </c>
      <c r="M499" s="6">
        <v>1040</v>
      </c>
      <c r="N499" s="6">
        <v>2080</v>
      </c>
      <c r="O499" s="7">
        <v>0</v>
      </c>
      <c r="P499" s="8">
        <f t="shared" si="14"/>
        <v>0</v>
      </c>
      <c r="Q499" s="9">
        <f t="shared" si="15"/>
        <v>2080</v>
      </c>
      <c r="R499" s="5">
        <v>41</v>
      </c>
      <c r="S499" s="5" t="s">
        <v>2033</v>
      </c>
      <c r="T499" s="5" t="s">
        <v>2036</v>
      </c>
    </row>
    <row r="500" spans="1:20" x14ac:dyDescent="0.25">
      <c r="A500" s="5" t="s">
        <v>513</v>
      </c>
      <c r="B500" s="10">
        <v>45608</v>
      </c>
      <c r="C500" s="5" t="s">
        <v>1019</v>
      </c>
      <c r="D500" s="11" t="s">
        <v>1518</v>
      </c>
      <c r="E500" s="5" t="s">
        <v>2554</v>
      </c>
      <c r="F500" s="5">
        <v>53</v>
      </c>
      <c r="G500" s="5" t="str" cm="1">
        <f t="array" ref="G500">_xlfn.IFS(F500&lt;12,"Child",F500&lt;18,"Teen",F500&lt;25,"Young",F500&lt;40,"Adult",F500&lt;60,"Middle Age",F500&gt;=60,"Old")</f>
        <v>Middle Age</v>
      </c>
      <c r="H500" s="5" t="s">
        <v>2044</v>
      </c>
      <c r="I500" s="5" t="s">
        <v>2050</v>
      </c>
      <c r="J500" s="5" t="s">
        <v>2025</v>
      </c>
      <c r="K500" s="5" t="str">
        <f>VLOOKUP(J500,Sheet2!$A$1:$B$11,2,FALSE)</f>
        <v>Formal Wear</v>
      </c>
      <c r="L500" s="5">
        <v>5</v>
      </c>
      <c r="M500" s="6">
        <v>1112</v>
      </c>
      <c r="N500" s="6">
        <v>5560</v>
      </c>
      <c r="O500" s="7">
        <v>0.05</v>
      </c>
      <c r="P500" s="8">
        <f t="shared" si="14"/>
        <v>278</v>
      </c>
      <c r="Q500" s="9">
        <f t="shared" si="15"/>
        <v>5282</v>
      </c>
      <c r="R500" s="5">
        <v>105</v>
      </c>
      <c r="S500" s="5" t="s">
        <v>2033</v>
      </c>
      <c r="T500" s="5" t="s">
        <v>2035</v>
      </c>
    </row>
    <row r="501" spans="1:20" x14ac:dyDescent="0.25">
      <c r="A501" s="5" t="s">
        <v>514</v>
      </c>
      <c r="B501" s="10">
        <v>45382</v>
      </c>
      <c r="C501" s="5" t="s">
        <v>1015</v>
      </c>
      <c r="D501" s="11" t="s">
        <v>1519</v>
      </c>
      <c r="E501" s="5" t="s">
        <v>2555</v>
      </c>
      <c r="F501" s="5">
        <v>53</v>
      </c>
      <c r="G501" s="5" t="str" cm="1">
        <f t="array" ref="G501">_xlfn.IFS(F501&lt;12,"Child",F501&lt;18,"Teen",F501&lt;25,"Young",F501&lt;40,"Adult",F501&lt;60,"Middle Age",F501&gt;=60,"Old")</f>
        <v>Middle Age</v>
      </c>
      <c r="H501" s="5" t="s">
        <v>2043</v>
      </c>
      <c r="I501" s="5" t="s">
        <v>2050</v>
      </c>
      <c r="J501" s="5" t="s">
        <v>2022</v>
      </c>
      <c r="K501" s="5" t="str">
        <f>VLOOKUP(J501,Sheet2!$A$1:$B$11,2,FALSE)</f>
        <v>Sportswear</v>
      </c>
      <c r="L501" s="5">
        <v>5</v>
      </c>
      <c r="M501" s="6">
        <v>254</v>
      </c>
      <c r="N501" s="6">
        <v>1270</v>
      </c>
      <c r="O501" s="7">
        <v>0.2</v>
      </c>
      <c r="P501" s="8">
        <f t="shared" si="14"/>
        <v>254</v>
      </c>
      <c r="Q501" s="9">
        <f t="shared" si="15"/>
        <v>1016</v>
      </c>
      <c r="R501" s="5">
        <v>20</v>
      </c>
      <c r="S501" s="5" t="s">
        <v>2032</v>
      </c>
      <c r="T501" s="5" t="s">
        <v>2035</v>
      </c>
    </row>
    <row r="502" spans="1:20" x14ac:dyDescent="0.25">
      <c r="A502" s="5" t="s">
        <v>515</v>
      </c>
      <c r="B502" s="10">
        <v>45513</v>
      </c>
      <c r="C502" s="5" t="s">
        <v>1014</v>
      </c>
      <c r="D502" s="11" t="s">
        <v>1520</v>
      </c>
      <c r="E502" s="5" t="s">
        <v>2556</v>
      </c>
      <c r="F502" s="5">
        <v>55</v>
      </c>
      <c r="G502" s="5" t="str" cm="1">
        <f t="array" ref="G502">_xlfn.IFS(F502&lt;12,"Child",F502&lt;18,"Teen",F502&lt;25,"Young",F502&lt;40,"Adult",F502&lt;60,"Middle Age",F502&gt;=60,"Old")</f>
        <v>Middle Age</v>
      </c>
      <c r="H502" s="5" t="s">
        <v>2044</v>
      </c>
      <c r="I502" s="5" t="s">
        <v>2048</v>
      </c>
      <c r="J502" s="5" t="s">
        <v>2025</v>
      </c>
      <c r="K502" s="5" t="str">
        <f>VLOOKUP(J502,Sheet2!$A$1:$B$11,2,FALSE)</f>
        <v>Formal Wear</v>
      </c>
      <c r="L502" s="5">
        <v>3</v>
      </c>
      <c r="M502" s="6">
        <v>1125</v>
      </c>
      <c r="N502" s="6">
        <v>3375</v>
      </c>
      <c r="O502" s="7">
        <v>0</v>
      </c>
      <c r="P502" s="8">
        <f t="shared" si="14"/>
        <v>0</v>
      </c>
      <c r="Q502" s="9">
        <f t="shared" si="15"/>
        <v>3375</v>
      </c>
      <c r="R502" s="5">
        <v>67</v>
      </c>
      <c r="S502" s="5" t="s">
        <v>2034</v>
      </c>
      <c r="T502" s="5" t="s">
        <v>2037</v>
      </c>
    </row>
    <row r="503" spans="1:20" x14ac:dyDescent="0.25">
      <c r="A503" s="5" t="s">
        <v>516</v>
      </c>
      <c r="B503" s="10">
        <v>45606</v>
      </c>
      <c r="C503" s="5" t="s">
        <v>1015</v>
      </c>
      <c r="D503" s="11" t="s">
        <v>1521</v>
      </c>
      <c r="E503" s="5" t="s">
        <v>2557</v>
      </c>
      <c r="F503" s="5">
        <v>32</v>
      </c>
      <c r="G503" s="5" t="str" cm="1">
        <f t="array" ref="G503">_xlfn.IFS(F503&lt;12,"Child",F503&lt;18,"Teen",F503&lt;25,"Young",F503&lt;40,"Adult",F503&lt;60,"Middle Age",F503&gt;=60,"Old")</f>
        <v>Adult</v>
      </c>
      <c r="H503" s="5" t="s">
        <v>2043</v>
      </c>
      <c r="I503" s="5" t="s">
        <v>2050</v>
      </c>
      <c r="J503" s="5" t="s">
        <v>2022</v>
      </c>
      <c r="K503" s="5" t="str">
        <f>VLOOKUP(J503,Sheet2!$A$1:$B$11,2,FALSE)</f>
        <v>Sportswear</v>
      </c>
      <c r="L503" s="5">
        <v>5</v>
      </c>
      <c r="M503" s="6">
        <v>743</v>
      </c>
      <c r="N503" s="6">
        <v>3715</v>
      </c>
      <c r="O503" s="7">
        <v>0.2</v>
      </c>
      <c r="P503" s="8">
        <f t="shared" si="14"/>
        <v>743</v>
      </c>
      <c r="Q503" s="9">
        <f t="shared" si="15"/>
        <v>2972</v>
      </c>
      <c r="R503" s="5">
        <v>59</v>
      </c>
      <c r="S503" s="5" t="s">
        <v>2032</v>
      </c>
      <c r="T503" s="5" t="s">
        <v>2037</v>
      </c>
    </row>
    <row r="504" spans="1:20" x14ac:dyDescent="0.25">
      <c r="A504" s="5" t="s">
        <v>517</v>
      </c>
      <c r="B504" s="10">
        <v>45451</v>
      </c>
      <c r="C504" s="5" t="s">
        <v>1020</v>
      </c>
      <c r="D504" s="11" t="s">
        <v>1029</v>
      </c>
      <c r="E504" s="5" t="s">
        <v>2558</v>
      </c>
      <c r="F504" s="5">
        <v>18</v>
      </c>
      <c r="G504" s="5" t="str" cm="1">
        <f t="array" ref="G504">_xlfn.IFS(F504&lt;12,"Child",F504&lt;18,"Teen",F504&lt;25,"Young",F504&lt;40,"Adult",F504&lt;60,"Middle Age",F504&gt;=60,"Old")</f>
        <v>Young</v>
      </c>
      <c r="H504" s="5" t="s">
        <v>2044</v>
      </c>
      <c r="I504" s="5" t="s">
        <v>2046</v>
      </c>
      <c r="J504" s="5" t="s">
        <v>2018</v>
      </c>
      <c r="K504" s="5" t="str">
        <f>VLOOKUP(J504,Sheet2!$A$1:$B$11,2,FALSE)</f>
        <v>Sportswear</v>
      </c>
      <c r="L504" s="5">
        <v>4</v>
      </c>
      <c r="M504" s="6">
        <v>871</v>
      </c>
      <c r="N504" s="6">
        <v>3484</v>
      </c>
      <c r="O504" s="7">
        <v>0.15</v>
      </c>
      <c r="P504" s="8">
        <f t="shared" si="14"/>
        <v>522.6</v>
      </c>
      <c r="Q504" s="9">
        <f t="shared" si="15"/>
        <v>2961.4</v>
      </c>
      <c r="R504" s="5">
        <v>59</v>
      </c>
      <c r="S504" s="5" t="s">
        <v>2032</v>
      </c>
      <c r="T504" s="5" t="s">
        <v>2037</v>
      </c>
    </row>
    <row r="505" spans="1:20" x14ac:dyDescent="0.25">
      <c r="A505" s="5" t="s">
        <v>518</v>
      </c>
      <c r="B505" s="10">
        <v>45540</v>
      </c>
      <c r="C505" s="5" t="s">
        <v>1018</v>
      </c>
      <c r="D505" s="11" t="s">
        <v>1522</v>
      </c>
      <c r="E505" s="5" t="s">
        <v>2559</v>
      </c>
      <c r="F505" s="5">
        <v>35</v>
      </c>
      <c r="G505" s="5" t="str" cm="1">
        <f t="array" ref="G505">_xlfn.IFS(F505&lt;12,"Child",F505&lt;18,"Teen",F505&lt;25,"Young",F505&lt;40,"Adult",F505&lt;60,"Middle Age",F505&gt;=60,"Old")</f>
        <v>Adult</v>
      </c>
      <c r="H505" s="5" t="s">
        <v>2044</v>
      </c>
      <c r="I505" s="5" t="s">
        <v>2053</v>
      </c>
      <c r="J505" s="5" t="s">
        <v>2024</v>
      </c>
      <c r="K505" s="5" t="str">
        <f>VLOOKUP(J505,Sheet2!$A$1:$B$11,2,FALSE)</f>
        <v>Fashion Accessories</v>
      </c>
      <c r="L505" s="5">
        <v>2</v>
      </c>
      <c r="M505" s="6">
        <v>176</v>
      </c>
      <c r="N505" s="6">
        <v>352</v>
      </c>
      <c r="O505" s="7">
        <v>0</v>
      </c>
      <c r="P505" s="8">
        <f t="shared" si="14"/>
        <v>0</v>
      </c>
      <c r="Q505" s="9">
        <f t="shared" si="15"/>
        <v>352</v>
      </c>
      <c r="R505" s="5">
        <v>7</v>
      </c>
      <c r="S505" s="5" t="s">
        <v>2034</v>
      </c>
      <c r="T505" s="5" t="s">
        <v>2036</v>
      </c>
    </row>
    <row r="506" spans="1:20" x14ac:dyDescent="0.25">
      <c r="A506" s="5" t="s">
        <v>519</v>
      </c>
      <c r="B506" s="10">
        <v>45687</v>
      </c>
      <c r="C506" s="5" t="s">
        <v>1018</v>
      </c>
      <c r="D506" s="11" t="s">
        <v>1523</v>
      </c>
      <c r="E506" s="5" t="s">
        <v>2560</v>
      </c>
      <c r="F506" s="5">
        <v>41</v>
      </c>
      <c r="G506" s="5" t="str" cm="1">
        <f t="array" ref="G506">_xlfn.IFS(F506&lt;12,"Child",F506&lt;18,"Teen",F506&lt;25,"Young",F506&lt;40,"Adult",F506&lt;60,"Middle Age",F506&gt;=60,"Old")</f>
        <v>Middle Age</v>
      </c>
      <c r="H506" s="5" t="s">
        <v>2044</v>
      </c>
      <c r="I506" s="5" t="s">
        <v>2049</v>
      </c>
      <c r="J506" s="5" t="s">
        <v>2024</v>
      </c>
      <c r="K506" s="5" t="str">
        <f>VLOOKUP(J506,Sheet2!$A$1:$B$11,2,FALSE)</f>
        <v>Fashion Accessories</v>
      </c>
      <c r="L506" s="5">
        <v>2</v>
      </c>
      <c r="M506" s="6">
        <v>255</v>
      </c>
      <c r="N506" s="6">
        <v>510</v>
      </c>
      <c r="O506" s="7">
        <v>0.05</v>
      </c>
      <c r="P506" s="8">
        <f t="shared" si="14"/>
        <v>25.5</v>
      </c>
      <c r="Q506" s="9">
        <f t="shared" si="15"/>
        <v>484.5</v>
      </c>
      <c r="R506" s="5">
        <v>9</v>
      </c>
      <c r="S506" s="5" t="s">
        <v>2033</v>
      </c>
      <c r="T506" s="5" t="s">
        <v>2036</v>
      </c>
    </row>
    <row r="507" spans="1:20" x14ac:dyDescent="0.25">
      <c r="A507" s="5" t="s">
        <v>520</v>
      </c>
      <c r="B507" s="10">
        <v>45368</v>
      </c>
      <c r="C507" s="5" t="s">
        <v>1015</v>
      </c>
      <c r="D507" s="11" t="s">
        <v>1524</v>
      </c>
      <c r="E507" s="5" t="s">
        <v>2561</v>
      </c>
      <c r="F507" s="5">
        <v>30</v>
      </c>
      <c r="G507" s="5" t="str" cm="1">
        <f t="array" ref="G507">_xlfn.IFS(F507&lt;12,"Child",F507&lt;18,"Teen",F507&lt;25,"Young",F507&lt;40,"Adult",F507&lt;60,"Middle Age",F507&gt;=60,"Old")</f>
        <v>Adult</v>
      </c>
      <c r="H507" s="5" t="s">
        <v>2044</v>
      </c>
      <c r="I507" s="5" t="s">
        <v>2051</v>
      </c>
      <c r="J507" s="5" t="s">
        <v>2019</v>
      </c>
      <c r="K507" s="5" t="str">
        <f>VLOOKUP(J507,Sheet2!$A$1:$B$11,2,FALSE)</f>
        <v>Formal Wear</v>
      </c>
      <c r="L507" s="5">
        <v>1</v>
      </c>
      <c r="M507" s="6">
        <v>221</v>
      </c>
      <c r="N507" s="6">
        <v>221</v>
      </c>
      <c r="O507" s="7">
        <v>0.2</v>
      </c>
      <c r="P507" s="8">
        <f t="shared" si="14"/>
        <v>44.2</v>
      </c>
      <c r="Q507" s="9">
        <f t="shared" si="15"/>
        <v>176.8</v>
      </c>
      <c r="R507" s="5">
        <v>3</v>
      </c>
      <c r="S507" s="5" t="s">
        <v>2034</v>
      </c>
      <c r="T507" s="5" t="s">
        <v>2035</v>
      </c>
    </row>
    <row r="508" spans="1:20" x14ac:dyDescent="0.25">
      <c r="A508" s="5" t="s">
        <v>521</v>
      </c>
      <c r="B508" s="10">
        <v>45707</v>
      </c>
      <c r="C508" s="5" t="s">
        <v>1017</v>
      </c>
      <c r="D508" s="11" t="s">
        <v>1525</v>
      </c>
      <c r="E508" s="5" t="s">
        <v>2562</v>
      </c>
      <c r="F508" s="5">
        <v>60</v>
      </c>
      <c r="G508" s="5" t="str" cm="1">
        <f t="array" ref="G508">_xlfn.IFS(F508&lt;12,"Child",F508&lt;18,"Teen",F508&lt;25,"Young",F508&lt;40,"Adult",F508&lt;60,"Middle Age",F508&gt;=60,"Old")</f>
        <v>Old</v>
      </c>
      <c r="H508" s="5" t="s">
        <v>2043</v>
      </c>
      <c r="I508" s="5" t="s">
        <v>2053</v>
      </c>
      <c r="J508" s="5" t="s">
        <v>2024</v>
      </c>
      <c r="K508" s="5" t="str">
        <f>VLOOKUP(J508,Sheet2!$A$1:$B$11,2,FALSE)</f>
        <v>Fashion Accessories</v>
      </c>
      <c r="L508" s="5">
        <v>4</v>
      </c>
      <c r="M508" s="6">
        <v>383</v>
      </c>
      <c r="N508" s="6">
        <v>1532</v>
      </c>
      <c r="O508" s="7">
        <v>0.2</v>
      </c>
      <c r="P508" s="8">
        <f t="shared" si="14"/>
        <v>306.40000000000003</v>
      </c>
      <c r="Q508" s="9">
        <f t="shared" si="15"/>
        <v>1225.5999999999999</v>
      </c>
      <c r="R508" s="5">
        <v>24</v>
      </c>
      <c r="S508" s="5" t="s">
        <v>2033</v>
      </c>
      <c r="T508" s="5" t="s">
        <v>2035</v>
      </c>
    </row>
    <row r="509" spans="1:20" x14ac:dyDescent="0.25">
      <c r="A509" s="5" t="s">
        <v>522</v>
      </c>
      <c r="B509" s="10">
        <v>45652</v>
      </c>
      <c r="C509" s="5" t="s">
        <v>1018</v>
      </c>
      <c r="D509" s="11" t="s">
        <v>1526</v>
      </c>
      <c r="E509" s="5" t="s">
        <v>2563</v>
      </c>
      <c r="F509" s="5">
        <v>33</v>
      </c>
      <c r="G509" s="5" t="str" cm="1">
        <f t="array" ref="G509">_xlfn.IFS(F509&lt;12,"Child",F509&lt;18,"Teen",F509&lt;25,"Young",F509&lt;40,"Adult",F509&lt;60,"Middle Age",F509&gt;=60,"Old")</f>
        <v>Adult</v>
      </c>
      <c r="H509" s="5" t="s">
        <v>2043</v>
      </c>
      <c r="I509" s="5" t="s">
        <v>2049</v>
      </c>
      <c r="J509" s="5" t="s">
        <v>2020</v>
      </c>
      <c r="K509" s="5" t="str">
        <f>VLOOKUP(J509,Sheet2!$A$1:$B$11,2,FALSE)</f>
        <v>Summer Wear</v>
      </c>
      <c r="L509" s="5">
        <v>4</v>
      </c>
      <c r="M509" s="6">
        <v>790</v>
      </c>
      <c r="N509" s="6">
        <v>3160</v>
      </c>
      <c r="O509" s="7">
        <v>0.15</v>
      </c>
      <c r="P509" s="8">
        <f t="shared" si="14"/>
        <v>474</v>
      </c>
      <c r="Q509" s="9">
        <f t="shared" si="15"/>
        <v>2686</v>
      </c>
      <c r="R509" s="5">
        <v>53</v>
      </c>
      <c r="S509" s="5" t="s">
        <v>2033</v>
      </c>
      <c r="T509" s="5" t="s">
        <v>2035</v>
      </c>
    </row>
    <row r="510" spans="1:20" x14ac:dyDescent="0.25">
      <c r="A510" s="5" t="s">
        <v>523</v>
      </c>
      <c r="B510" s="10">
        <v>45436</v>
      </c>
      <c r="C510" s="5" t="s">
        <v>1014</v>
      </c>
      <c r="D510" s="11" t="s">
        <v>1527</v>
      </c>
      <c r="E510" s="5" t="s">
        <v>2564</v>
      </c>
      <c r="F510" s="5">
        <v>60</v>
      </c>
      <c r="G510" s="5" t="str" cm="1">
        <f t="array" ref="G510">_xlfn.IFS(F510&lt;12,"Child",F510&lt;18,"Teen",F510&lt;25,"Young",F510&lt;40,"Adult",F510&lt;60,"Middle Age",F510&gt;=60,"Old")</f>
        <v>Old</v>
      </c>
      <c r="H510" s="5" t="s">
        <v>2043</v>
      </c>
      <c r="I510" s="5" t="s">
        <v>2052</v>
      </c>
      <c r="J510" s="5" t="s">
        <v>2016</v>
      </c>
      <c r="K510" s="5" t="str">
        <f>VLOOKUP(J510,Sheet2!$A$1:$B$11,2,FALSE)</f>
        <v>Winter Wear</v>
      </c>
      <c r="L510" s="5">
        <v>3</v>
      </c>
      <c r="M510" s="6">
        <v>1030</v>
      </c>
      <c r="N510" s="6">
        <v>3090</v>
      </c>
      <c r="O510" s="7">
        <v>0.1</v>
      </c>
      <c r="P510" s="8">
        <f t="shared" si="14"/>
        <v>309</v>
      </c>
      <c r="Q510" s="9">
        <f t="shared" si="15"/>
        <v>2781</v>
      </c>
      <c r="R510" s="5">
        <v>55</v>
      </c>
      <c r="S510" s="5" t="s">
        <v>2032</v>
      </c>
      <c r="T510" s="5" t="s">
        <v>2037</v>
      </c>
    </row>
    <row r="511" spans="1:20" x14ac:dyDescent="0.25">
      <c r="A511" s="5" t="s">
        <v>524</v>
      </c>
      <c r="B511" s="10">
        <v>45453</v>
      </c>
      <c r="C511" s="5" t="s">
        <v>1016</v>
      </c>
      <c r="D511" s="11" t="s">
        <v>1528</v>
      </c>
      <c r="E511" s="5" t="s">
        <v>2565</v>
      </c>
      <c r="F511" s="5">
        <v>23</v>
      </c>
      <c r="G511" s="5" t="str" cm="1">
        <f t="array" ref="G511">_xlfn.IFS(F511&lt;12,"Child",F511&lt;18,"Teen",F511&lt;25,"Young",F511&lt;40,"Adult",F511&lt;60,"Middle Age",F511&gt;=60,"Old")</f>
        <v>Young</v>
      </c>
      <c r="H511" s="5" t="s">
        <v>2044</v>
      </c>
      <c r="I511" s="5" t="s">
        <v>2015</v>
      </c>
      <c r="J511" s="5" t="s">
        <v>2021</v>
      </c>
      <c r="K511" s="5" t="str">
        <f>VLOOKUP(J511,Sheet2!$A$1:$B$11,2,FALSE)</f>
        <v>Casual Wear</v>
      </c>
      <c r="L511" s="5">
        <v>3</v>
      </c>
      <c r="M511" s="6">
        <v>523</v>
      </c>
      <c r="N511" s="6">
        <v>1569</v>
      </c>
      <c r="O511" s="7">
        <v>0</v>
      </c>
      <c r="P511" s="8">
        <f t="shared" si="14"/>
        <v>0</v>
      </c>
      <c r="Q511" s="9">
        <f t="shared" si="15"/>
        <v>1569</v>
      </c>
      <c r="R511" s="5">
        <v>31</v>
      </c>
      <c r="S511" s="5" t="s">
        <v>2034</v>
      </c>
      <c r="T511" s="5" t="s">
        <v>2037</v>
      </c>
    </row>
    <row r="512" spans="1:20" x14ac:dyDescent="0.25">
      <c r="A512" s="5" t="s">
        <v>525</v>
      </c>
      <c r="B512" s="10">
        <v>45373</v>
      </c>
      <c r="C512" s="5" t="s">
        <v>1014</v>
      </c>
      <c r="D512" s="11" t="s">
        <v>1529</v>
      </c>
      <c r="E512" s="5" t="s">
        <v>2566</v>
      </c>
      <c r="F512" s="5">
        <v>49</v>
      </c>
      <c r="G512" s="5" t="str" cm="1">
        <f t="array" ref="G512">_xlfn.IFS(F512&lt;12,"Child",F512&lt;18,"Teen",F512&lt;25,"Young",F512&lt;40,"Adult",F512&lt;60,"Middle Age",F512&gt;=60,"Old")</f>
        <v>Middle Age</v>
      </c>
      <c r="H512" s="5" t="s">
        <v>2043</v>
      </c>
      <c r="I512" s="5" t="s">
        <v>2047</v>
      </c>
      <c r="J512" s="5" t="s">
        <v>2017</v>
      </c>
      <c r="K512" s="5" t="str">
        <f>VLOOKUP(J512,Sheet2!$A$1:$B$11,2,FALSE)</f>
        <v>Casual Wear</v>
      </c>
      <c r="L512" s="5">
        <v>5</v>
      </c>
      <c r="M512" s="6">
        <v>1074</v>
      </c>
      <c r="N512" s="6">
        <v>5370</v>
      </c>
      <c r="O512" s="7">
        <v>0.05</v>
      </c>
      <c r="P512" s="8">
        <f t="shared" si="14"/>
        <v>268.5</v>
      </c>
      <c r="Q512" s="9">
        <f t="shared" si="15"/>
        <v>5101.5</v>
      </c>
      <c r="R512" s="5">
        <v>102</v>
      </c>
      <c r="S512" s="5" t="s">
        <v>2033</v>
      </c>
      <c r="T512" s="5" t="s">
        <v>2037</v>
      </c>
    </row>
    <row r="513" spans="1:20" x14ac:dyDescent="0.25">
      <c r="A513" s="5" t="s">
        <v>526</v>
      </c>
      <c r="B513" s="10">
        <v>45541</v>
      </c>
      <c r="C513" s="5" t="s">
        <v>1014</v>
      </c>
      <c r="D513" s="11" t="s">
        <v>1530</v>
      </c>
      <c r="E513" s="5" t="s">
        <v>2567</v>
      </c>
      <c r="F513" s="5">
        <v>49</v>
      </c>
      <c r="G513" s="5" t="str" cm="1">
        <f t="array" ref="G513">_xlfn.IFS(F513&lt;12,"Child",F513&lt;18,"Teen",F513&lt;25,"Young",F513&lt;40,"Adult",F513&lt;60,"Middle Age",F513&gt;=60,"Old")</f>
        <v>Middle Age</v>
      </c>
      <c r="H513" s="5" t="s">
        <v>2044</v>
      </c>
      <c r="I513" s="5" t="s">
        <v>2053</v>
      </c>
      <c r="J513" s="5" t="s">
        <v>2024</v>
      </c>
      <c r="K513" s="5" t="str">
        <f>VLOOKUP(J513,Sheet2!$A$1:$B$11,2,FALSE)</f>
        <v>Fashion Accessories</v>
      </c>
      <c r="L513" s="5">
        <v>4</v>
      </c>
      <c r="M513" s="6">
        <v>862</v>
      </c>
      <c r="N513" s="6">
        <v>3448</v>
      </c>
      <c r="O513" s="7">
        <v>0.15</v>
      </c>
      <c r="P513" s="8">
        <f t="shared" si="14"/>
        <v>517.19999999999993</v>
      </c>
      <c r="Q513" s="9">
        <f t="shared" si="15"/>
        <v>2930.8</v>
      </c>
      <c r="R513" s="5">
        <v>58</v>
      </c>
      <c r="S513" s="5" t="s">
        <v>2033</v>
      </c>
      <c r="T513" s="5" t="s">
        <v>2035</v>
      </c>
    </row>
    <row r="514" spans="1:20" x14ac:dyDescent="0.25">
      <c r="A514" s="5" t="s">
        <v>527</v>
      </c>
      <c r="B514" s="10">
        <v>45434</v>
      </c>
      <c r="C514" s="5" t="s">
        <v>1017</v>
      </c>
      <c r="D514" s="11" t="s">
        <v>1531</v>
      </c>
      <c r="E514" s="5" t="s">
        <v>2568</v>
      </c>
      <c r="F514" s="5">
        <v>36</v>
      </c>
      <c r="G514" s="5" t="str" cm="1">
        <f t="array" ref="G514">_xlfn.IFS(F514&lt;12,"Child",F514&lt;18,"Teen",F514&lt;25,"Young",F514&lt;40,"Adult",F514&lt;60,"Middle Age",F514&gt;=60,"Old")</f>
        <v>Adult</v>
      </c>
      <c r="H514" s="5" t="s">
        <v>2044</v>
      </c>
      <c r="I514" s="5" t="s">
        <v>2015</v>
      </c>
      <c r="J514" s="5" t="s">
        <v>2016</v>
      </c>
      <c r="K514" s="5" t="str">
        <f>VLOOKUP(J514,Sheet2!$A$1:$B$11,2,FALSE)</f>
        <v>Winter Wear</v>
      </c>
      <c r="L514" s="5">
        <v>1</v>
      </c>
      <c r="M514" s="6">
        <v>692</v>
      </c>
      <c r="N514" s="6">
        <v>692</v>
      </c>
      <c r="O514" s="7">
        <v>0.05</v>
      </c>
      <c r="P514" s="8">
        <f t="shared" si="14"/>
        <v>34.6</v>
      </c>
      <c r="Q514" s="9">
        <f t="shared" si="15"/>
        <v>657.4</v>
      </c>
      <c r="R514" s="5">
        <v>13</v>
      </c>
      <c r="S514" s="5" t="s">
        <v>2033</v>
      </c>
      <c r="T514" s="5" t="s">
        <v>2036</v>
      </c>
    </row>
    <row r="515" spans="1:20" x14ac:dyDescent="0.25">
      <c r="A515" s="5" t="s">
        <v>528</v>
      </c>
      <c r="B515" s="10">
        <v>45484</v>
      </c>
      <c r="C515" s="5" t="s">
        <v>1018</v>
      </c>
      <c r="D515" s="11" t="s">
        <v>1532</v>
      </c>
      <c r="E515" s="5" t="s">
        <v>2569</v>
      </c>
      <c r="F515" s="5">
        <v>50</v>
      </c>
      <c r="G515" s="5" t="str" cm="1">
        <f t="array" ref="G515">_xlfn.IFS(F515&lt;12,"Child",F515&lt;18,"Teen",F515&lt;25,"Young",F515&lt;40,"Adult",F515&lt;60,"Middle Age",F515&gt;=60,"Old")</f>
        <v>Middle Age</v>
      </c>
      <c r="H515" s="5" t="s">
        <v>2044</v>
      </c>
      <c r="I515" s="5" t="s">
        <v>2049</v>
      </c>
      <c r="J515" s="5" t="s">
        <v>2021</v>
      </c>
      <c r="K515" s="5" t="str">
        <f>VLOOKUP(J515,Sheet2!$A$1:$B$11,2,FALSE)</f>
        <v>Casual Wear</v>
      </c>
      <c r="L515" s="5">
        <v>4</v>
      </c>
      <c r="M515" s="6">
        <v>605</v>
      </c>
      <c r="N515" s="6">
        <v>2420</v>
      </c>
      <c r="O515" s="7">
        <v>0.05</v>
      </c>
      <c r="P515" s="8">
        <f t="shared" ref="P515:P578" si="16">N515*O515</f>
        <v>121</v>
      </c>
      <c r="Q515" s="9">
        <f t="shared" ref="Q515:Q578" si="17">N515-P515</f>
        <v>2299</v>
      </c>
      <c r="R515" s="5">
        <v>45</v>
      </c>
      <c r="S515" s="5" t="s">
        <v>2033</v>
      </c>
      <c r="T515" s="5" t="s">
        <v>2035</v>
      </c>
    </row>
    <row r="516" spans="1:20" x14ac:dyDescent="0.25">
      <c r="A516" s="5" t="s">
        <v>529</v>
      </c>
      <c r="B516" s="10">
        <v>45356</v>
      </c>
      <c r="C516" s="5" t="s">
        <v>1019</v>
      </c>
      <c r="D516" s="11" t="s">
        <v>1533</v>
      </c>
      <c r="E516" s="5" t="s">
        <v>2570</v>
      </c>
      <c r="F516" s="5">
        <v>51</v>
      </c>
      <c r="G516" s="5" t="str" cm="1">
        <f t="array" ref="G516">_xlfn.IFS(F516&lt;12,"Child",F516&lt;18,"Teen",F516&lt;25,"Young",F516&lt;40,"Adult",F516&lt;60,"Middle Age",F516&gt;=60,"Old")</f>
        <v>Middle Age</v>
      </c>
      <c r="H516" s="5" t="s">
        <v>2044</v>
      </c>
      <c r="I516" s="5" t="s">
        <v>2046</v>
      </c>
      <c r="J516" s="5" t="s">
        <v>2021</v>
      </c>
      <c r="K516" s="5" t="str">
        <f>VLOOKUP(J516,Sheet2!$A$1:$B$11,2,FALSE)</f>
        <v>Casual Wear</v>
      </c>
      <c r="L516" s="5">
        <v>2</v>
      </c>
      <c r="M516" s="6">
        <v>701</v>
      </c>
      <c r="N516" s="6">
        <v>1402</v>
      </c>
      <c r="O516" s="7">
        <v>0.15</v>
      </c>
      <c r="P516" s="8">
        <f t="shared" si="16"/>
        <v>210.29999999999998</v>
      </c>
      <c r="Q516" s="9">
        <f t="shared" si="17"/>
        <v>1191.7</v>
      </c>
      <c r="R516" s="5">
        <v>23</v>
      </c>
      <c r="S516" s="5" t="s">
        <v>2033</v>
      </c>
      <c r="T516" s="5" t="s">
        <v>2036</v>
      </c>
    </row>
    <row r="517" spans="1:20" x14ac:dyDescent="0.25">
      <c r="A517" s="5" t="s">
        <v>530</v>
      </c>
      <c r="B517" s="10">
        <v>45573</v>
      </c>
      <c r="C517" s="5" t="s">
        <v>1019</v>
      </c>
      <c r="D517" s="11" t="s">
        <v>1534</v>
      </c>
      <c r="E517" s="5" t="s">
        <v>2571</v>
      </c>
      <c r="F517" s="5">
        <v>22</v>
      </c>
      <c r="G517" s="5" t="str" cm="1">
        <f t="array" ref="G517">_xlfn.IFS(F517&lt;12,"Child",F517&lt;18,"Teen",F517&lt;25,"Young",F517&lt;40,"Adult",F517&lt;60,"Middle Age",F517&gt;=60,"Old")</f>
        <v>Young</v>
      </c>
      <c r="H517" s="5" t="s">
        <v>2043</v>
      </c>
      <c r="I517" s="5" t="s">
        <v>2049</v>
      </c>
      <c r="J517" s="5" t="s">
        <v>2021</v>
      </c>
      <c r="K517" s="5" t="str">
        <f>VLOOKUP(J517,Sheet2!$A$1:$B$11,2,FALSE)</f>
        <v>Casual Wear</v>
      </c>
      <c r="L517" s="5">
        <v>3</v>
      </c>
      <c r="M517" s="6">
        <v>584</v>
      </c>
      <c r="N517" s="6">
        <v>1752</v>
      </c>
      <c r="O517" s="7">
        <v>0</v>
      </c>
      <c r="P517" s="8">
        <f t="shared" si="16"/>
        <v>0</v>
      </c>
      <c r="Q517" s="9">
        <f t="shared" si="17"/>
        <v>1752</v>
      </c>
      <c r="R517" s="5">
        <v>35</v>
      </c>
      <c r="S517" s="5" t="s">
        <v>2032</v>
      </c>
      <c r="T517" s="5" t="s">
        <v>2036</v>
      </c>
    </row>
    <row r="518" spans="1:20" x14ac:dyDescent="0.25">
      <c r="A518" s="5" t="s">
        <v>531</v>
      </c>
      <c r="B518" s="10">
        <v>45360</v>
      </c>
      <c r="C518" s="5" t="s">
        <v>1020</v>
      </c>
      <c r="D518" s="11" t="s">
        <v>1535</v>
      </c>
      <c r="E518" s="5" t="s">
        <v>2572</v>
      </c>
      <c r="F518" s="5">
        <v>23</v>
      </c>
      <c r="G518" s="5" t="str" cm="1">
        <f t="array" ref="G518">_xlfn.IFS(F518&lt;12,"Child",F518&lt;18,"Teen",F518&lt;25,"Young",F518&lt;40,"Adult",F518&lt;60,"Middle Age",F518&gt;=60,"Old")</f>
        <v>Young</v>
      </c>
      <c r="H518" s="5" t="s">
        <v>2044</v>
      </c>
      <c r="I518" s="5" t="s">
        <v>2050</v>
      </c>
      <c r="J518" s="5" t="s">
        <v>2016</v>
      </c>
      <c r="K518" s="5" t="str">
        <f>VLOOKUP(J518,Sheet2!$A$1:$B$11,2,FALSE)</f>
        <v>Winter Wear</v>
      </c>
      <c r="L518" s="5">
        <v>5</v>
      </c>
      <c r="M518" s="6">
        <v>463</v>
      </c>
      <c r="N518" s="6">
        <v>2315</v>
      </c>
      <c r="O518" s="7">
        <v>0.2</v>
      </c>
      <c r="P518" s="8">
        <f t="shared" si="16"/>
        <v>463</v>
      </c>
      <c r="Q518" s="9">
        <f t="shared" si="17"/>
        <v>1852</v>
      </c>
      <c r="R518" s="5">
        <v>37</v>
      </c>
      <c r="S518" s="5" t="s">
        <v>2032</v>
      </c>
      <c r="T518" s="5" t="s">
        <v>2037</v>
      </c>
    </row>
    <row r="519" spans="1:20" x14ac:dyDescent="0.25">
      <c r="A519" s="5" t="s">
        <v>532</v>
      </c>
      <c r="B519" s="10">
        <v>45545</v>
      </c>
      <c r="C519" s="5" t="s">
        <v>1019</v>
      </c>
      <c r="D519" s="11" t="s">
        <v>1536</v>
      </c>
      <c r="E519" s="5" t="s">
        <v>2573</v>
      </c>
      <c r="F519" s="5">
        <v>32</v>
      </c>
      <c r="G519" s="5" t="str" cm="1">
        <f t="array" ref="G519">_xlfn.IFS(F519&lt;12,"Child",F519&lt;18,"Teen",F519&lt;25,"Young",F519&lt;40,"Adult",F519&lt;60,"Middle Age",F519&gt;=60,"Old")</f>
        <v>Adult</v>
      </c>
      <c r="H519" s="5" t="s">
        <v>2043</v>
      </c>
      <c r="I519" s="5" t="s">
        <v>2052</v>
      </c>
      <c r="J519" s="5" t="s">
        <v>2022</v>
      </c>
      <c r="K519" s="5" t="str">
        <f>VLOOKUP(J519,Sheet2!$A$1:$B$11,2,FALSE)</f>
        <v>Sportswear</v>
      </c>
      <c r="L519" s="5">
        <v>3</v>
      </c>
      <c r="M519" s="6">
        <v>939</v>
      </c>
      <c r="N519" s="6">
        <v>2817</v>
      </c>
      <c r="O519" s="7">
        <v>0.15</v>
      </c>
      <c r="P519" s="8">
        <f t="shared" si="16"/>
        <v>422.55</v>
      </c>
      <c r="Q519" s="9">
        <f t="shared" si="17"/>
        <v>2394.4499999999998</v>
      </c>
      <c r="R519" s="5">
        <v>47</v>
      </c>
      <c r="S519" s="5" t="s">
        <v>2033</v>
      </c>
      <c r="T519" s="5" t="s">
        <v>2037</v>
      </c>
    </row>
    <row r="520" spans="1:20" x14ac:dyDescent="0.25">
      <c r="A520" s="5" t="s">
        <v>533</v>
      </c>
      <c r="B520" s="10">
        <v>45655</v>
      </c>
      <c r="C520" s="5" t="s">
        <v>1015</v>
      </c>
      <c r="D520" s="11" t="s">
        <v>1537</v>
      </c>
      <c r="E520" s="5" t="s">
        <v>2574</v>
      </c>
      <c r="F520" s="5">
        <v>47</v>
      </c>
      <c r="G520" s="5" t="str" cm="1">
        <f t="array" ref="G520">_xlfn.IFS(F520&lt;12,"Child",F520&lt;18,"Teen",F520&lt;25,"Young",F520&lt;40,"Adult",F520&lt;60,"Middle Age",F520&gt;=60,"Old")</f>
        <v>Middle Age</v>
      </c>
      <c r="H520" s="5" t="s">
        <v>2044</v>
      </c>
      <c r="I520" s="5" t="s">
        <v>2046</v>
      </c>
      <c r="J520" s="5" t="s">
        <v>2017</v>
      </c>
      <c r="K520" s="5" t="str">
        <f>VLOOKUP(J520,Sheet2!$A$1:$B$11,2,FALSE)</f>
        <v>Casual Wear</v>
      </c>
      <c r="L520" s="5">
        <v>1</v>
      </c>
      <c r="M520" s="6">
        <v>1179</v>
      </c>
      <c r="N520" s="6">
        <v>1179</v>
      </c>
      <c r="O520" s="7">
        <v>0</v>
      </c>
      <c r="P520" s="8">
        <f t="shared" si="16"/>
        <v>0</v>
      </c>
      <c r="Q520" s="9">
        <f t="shared" si="17"/>
        <v>1179</v>
      </c>
      <c r="R520" s="5">
        <v>23</v>
      </c>
      <c r="S520" s="5" t="s">
        <v>2033</v>
      </c>
      <c r="T520" s="5" t="s">
        <v>2036</v>
      </c>
    </row>
    <row r="521" spans="1:20" x14ac:dyDescent="0.25">
      <c r="A521" s="5" t="s">
        <v>534</v>
      </c>
      <c r="B521" s="10">
        <v>45718</v>
      </c>
      <c r="C521" s="5" t="s">
        <v>1015</v>
      </c>
      <c r="D521" s="11" t="s">
        <v>1538</v>
      </c>
      <c r="E521" s="5" t="s">
        <v>2575</v>
      </c>
      <c r="F521" s="5">
        <v>20</v>
      </c>
      <c r="G521" s="5" t="str" cm="1">
        <f t="array" ref="G521">_xlfn.IFS(F521&lt;12,"Child",F521&lt;18,"Teen",F521&lt;25,"Young",F521&lt;40,"Adult",F521&lt;60,"Middle Age",F521&gt;=60,"Old")</f>
        <v>Young</v>
      </c>
      <c r="H521" s="5" t="s">
        <v>2044</v>
      </c>
      <c r="I521" s="5" t="s">
        <v>2047</v>
      </c>
      <c r="J521" s="5" t="s">
        <v>2016</v>
      </c>
      <c r="K521" s="5" t="str">
        <f>VLOOKUP(J521,Sheet2!$A$1:$B$11,2,FALSE)</f>
        <v>Winter Wear</v>
      </c>
      <c r="L521" s="5">
        <v>4</v>
      </c>
      <c r="M521" s="6">
        <v>728</v>
      </c>
      <c r="N521" s="6">
        <v>2912</v>
      </c>
      <c r="O521" s="7">
        <v>0.1</v>
      </c>
      <c r="P521" s="8">
        <f t="shared" si="16"/>
        <v>291.2</v>
      </c>
      <c r="Q521" s="9">
        <f t="shared" si="17"/>
        <v>2620.8000000000002</v>
      </c>
      <c r="R521" s="5">
        <v>52</v>
      </c>
      <c r="S521" s="5" t="s">
        <v>2032</v>
      </c>
      <c r="T521" s="5" t="s">
        <v>2035</v>
      </c>
    </row>
    <row r="522" spans="1:20" x14ac:dyDescent="0.25">
      <c r="A522" s="5" t="s">
        <v>535</v>
      </c>
      <c r="B522" s="10">
        <v>45643</v>
      </c>
      <c r="C522" s="5" t="s">
        <v>1019</v>
      </c>
      <c r="D522" s="11" t="s">
        <v>1539</v>
      </c>
      <c r="E522" s="5" t="s">
        <v>2576</v>
      </c>
      <c r="F522" s="5">
        <v>33</v>
      </c>
      <c r="G522" s="5" t="str" cm="1">
        <f t="array" ref="G522">_xlfn.IFS(F522&lt;12,"Child",F522&lt;18,"Teen",F522&lt;25,"Young",F522&lt;40,"Adult",F522&lt;60,"Middle Age",F522&gt;=60,"Old")</f>
        <v>Adult</v>
      </c>
      <c r="H522" s="5" t="s">
        <v>2044</v>
      </c>
      <c r="I522" s="5" t="s">
        <v>2051</v>
      </c>
      <c r="J522" s="5" t="s">
        <v>2025</v>
      </c>
      <c r="K522" s="5" t="str">
        <f>VLOOKUP(J522,Sheet2!$A$1:$B$11,2,FALSE)</f>
        <v>Formal Wear</v>
      </c>
      <c r="L522" s="5">
        <v>4</v>
      </c>
      <c r="M522" s="6">
        <v>1005</v>
      </c>
      <c r="N522" s="6">
        <v>4020</v>
      </c>
      <c r="O522" s="7">
        <v>0.1</v>
      </c>
      <c r="P522" s="8">
        <f t="shared" si="16"/>
        <v>402</v>
      </c>
      <c r="Q522" s="9">
        <f t="shared" si="17"/>
        <v>3618</v>
      </c>
      <c r="R522" s="5">
        <v>72</v>
      </c>
      <c r="S522" s="5" t="s">
        <v>2034</v>
      </c>
      <c r="T522" s="5" t="s">
        <v>2037</v>
      </c>
    </row>
    <row r="523" spans="1:20" x14ac:dyDescent="0.25">
      <c r="A523" s="5" t="s">
        <v>536</v>
      </c>
      <c r="B523" s="10">
        <v>45503</v>
      </c>
      <c r="C523" s="5" t="s">
        <v>1019</v>
      </c>
      <c r="D523" s="11" t="s">
        <v>1540</v>
      </c>
      <c r="E523" s="5" t="s">
        <v>2577</v>
      </c>
      <c r="F523" s="5">
        <v>50</v>
      </c>
      <c r="G523" s="5" t="str" cm="1">
        <f t="array" ref="G523">_xlfn.IFS(F523&lt;12,"Child",F523&lt;18,"Teen",F523&lt;25,"Young",F523&lt;40,"Adult",F523&lt;60,"Middle Age",F523&gt;=60,"Old")</f>
        <v>Middle Age</v>
      </c>
      <c r="H523" s="5" t="s">
        <v>2044</v>
      </c>
      <c r="I523" s="5" t="s">
        <v>2047</v>
      </c>
      <c r="J523" s="5" t="s">
        <v>2016</v>
      </c>
      <c r="K523" s="5" t="str">
        <f>VLOOKUP(J523,Sheet2!$A$1:$B$11,2,FALSE)</f>
        <v>Winter Wear</v>
      </c>
      <c r="L523" s="5">
        <v>5</v>
      </c>
      <c r="M523" s="6">
        <v>170</v>
      </c>
      <c r="N523" s="6">
        <v>850</v>
      </c>
      <c r="O523" s="7">
        <v>0.05</v>
      </c>
      <c r="P523" s="8">
        <f t="shared" si="16"/>
        <v>42.5</v>
      </c>
      <c r="Q523" s="9">
        <f t="shared" si="17"/>
        <v>807.5</v>
      </c>
      <c r="R523" s="5">
        <v>16</v>
      </c>
      <c r="S523" s="5" t="s">
        <v>2032</v>
      </c>
      <c r="T523" s="5" t="s">
        <v>2035</v>
      </c>
    </row>
    <row r="524" spans="1:20" x14ac:dyDescent="0.25">
      <c r="A524" s="5" t="s">
        <v>537</v>
      </c>
      <c r="B524" s="10">
        <v>45430</v>
      </c>
      <c r="C524" s="5" t="s">
        <v>1020</v>
      </c>
      <c r="D524" s="11" t="s">
        <v>1541</v>
      </c>
      <c r="E524" s="5" t="s">
        <v>2578</v>
      </c>
      <c r="F524" s="5">
        <v>33</v>
      </c>
      <c r="G524" s="5" t="str" cm="1">
        <f t="array" ref="G524">_xlfn.IFS(F524&lt;12,"Child",F524&lt;18,"Teen",F524&lt;25,"Young",F524&lt;40,"Adult",F524&lt;60,"Middle Age",F524&gt;=60,"Old")</f>
        <v>Adult</v>
      </c>
      <c r="H524" s="5" t="s">
        <v>2043</v>
      </c>
      <c r="I524" s="5" t="s">
        <v>2047</v>
      </c>
      <c r="J524" s="5" t="s">
        <v>2025</v>
      </c>
      <c r="K524" s="5" t="str">
        <f>VLOOKUP(J524,Sheet2!$A$1:$B$11,2,FALSE)</f>
        <v>Formal Wear</v>
      </c>
      <c r="L524" s="5">
        <v>2</v>
      </c>
      <c r="M524" s="6">
        <v>367</v>
      </c>
      <c r="N524" s="6">
        <v>734</v>
      </c>
      <c r="O524" s="7">
        <v>0</v>
      </c>
      <c r="P524" s="8">
        <f t="shared" si="16"/>
        <v>0</v>
      </c>
      <c r="Q524" s="9">
        <f t="shared" si="17"/>
        <v>734</v>
      </c>
      <c r="R524" s="5">
        <v>14</v>
      </c>
      <c r="S524" s="5" t="s">
        <v>2034</v>
      </c>
      <c r="T524" s="5" t="s">
        <v>2035</v>
      </c>
    </row>
    <row r="525" spans="1:20" x14ac:dyDescent="0.25">
      <c r="A525" s="5" t="s">
        <v>538</v>
      </c>
      <c r="B525" s="10">
        <v>45446</v>
      </c>
      <c r="C525" s="5" t="s">
        <v>1016</v>
      </c>
      <c r="D525" s="11" t="s">
        <v>1542</v>
      </c>
      <c r="E525" s="5" t="s">
        <v>2579</v>
      </c>
      <c r="F525" s="5">
        <v>45</v>
      </c>
      <c r="G525" s="5" t="str" cm="1">
        <f t="array" ref="G525">_xlfn.IFS(F525&lt;12,"Child",F525&lt;18,"Teen",F525&lt;25,"Young",F525&lt;40,"Adult",F525&lt;60,"Middle Age",F525&gt;=60,"Old")</f>
        <v>Middle Age</v>
      </c>
      <c r="H525" s="5" t="s">
        <v>2043</v>
      </c>
      <c r="I525" s="5" t="s">
        <v>2053</v>
      </c>
      <c r="J525" s="5" t="s">
        <v>2021</v>
      </c>
      <c r="K525" s="5" t="str">
        <f>VLOOKUP(J525,Sheet2!$A$1:$B$11,2,FALSE)</f>
        <v>Casual Wear</v>
      </c>
      <c r="L525" s="5">
        <v>4</v>
      </c>
      <c r="M525" s="6">
        <v>315</v>
      </c>
      <c r="N525" s="6">
        <v>1260</v>
      </c>
      <c r="O525" s="7">
        <v>0.1</v>
      </c>
      <c r="P525" s="8">
        <f t="shared" si="16"/>
        <v>126</v>
      </c>
      <c r="Q525" s="9">
        <f t="shared" si="17"/>
        <v>1134</v>
      </c>
      <c r="R525" s="5">
        <v>22</v>
      </c>
      <c r="S525" s="5" t="s">
        <v>2032</v>
      </c>
      <c r="T525" s="5" t="s">
        <v>2036</v>
      </c>
    </row>
    <row r="526" spans="1:20" x14ac:dyDescent="0.25">
      <c r="A526" s="5" t="s">
        <v>539</v>
      </c>
      <c r="B526" s="10">
        <v>45645</v>
      </c>
      <c r="C526" s="5" t="s">
        <v>1018</v>
      </c>
      <c r="D526" s="11" t="s">
        <v>1543</v>
      </c>
      <c r="E526" s="5" t="s">
        <v>2580</v>
      </c>
      <c r="F526" s="5">
        <v>38</v>
      </c>
      <c r="G526" s="5" t="str" cm="1">
        <f t="array" ref="G526">_xlfn.IFS(F526&lt;12,"Child",F526&lt;18,"Teen",F526&lt;25,"Young",F526&lt;40,"Adult",F526&lt;60,"Middle Age",F526&gt;=60,"Old")</f>
        <v>Adult</v>
      </c>
      <c r="H526" s="5" t="s">
        <v>2044</v>
      </c>
      <c r="I526" s="5" t="s">
        <v>2045</v>
      </c>
      <c r="J526" s="5" t="s">
        <v>2025</v>
      </c>
      <c r="K526" s="5" t="str">
        <f>VLOOKUP(J526,Sheet2!$A$1:$B$11,2,FALSE)</f>
        <v>Formal Wear</v>
      </c>
      <c r="L526" s="5">
        <v>3</v>
      </c>
      <c r="M526" s="6">
        <v>520</v>
      </c>
      <c r="N526" s="6">
        <v>1560</v>
      </c>
      <c r="O526" s="7">
        <v>0.05</v>
      </c>
      <c r="P526" s="8">
        <f t="shared" si="16"/>
        <v>78</v>
      </c>
      <c r="Q526" s="9">
        <f t="shared" si="17"/>
        <v>1482</v>
      </c>
      <c r="R526" s="5">
        <v>29</v>
      </c>
      <c r="S526" s="5" t="s">
        <v>2033</v>
      </c>
      <c r="T526" s="5" t="s">
        <v>2037</v>
      </c>
    </row>
    <row r="527" spans="1:20" x14ac:dyDescent="0.25">
      <c r="A527" s="5" t="s">
        <v>540</v>
      </c>
      <c r="B527" s="10">
        <v>45606</v>
      </c>
      <c r="C527" s="5" t="s">
        <v>1015</v>
      </c>
      <c r="D527" s="11" t="s">
        <v>1544</v>
      </c>
      <c r="E527" s="5" t="s">
        <v>2581</v>
      </c>
      <c r="F527" s="5">
        <v>32</v>
      </c>
      <c r="G527" s="5" t="str" cm="1">
        <f t="array" ref="G527">_xlfn.IFS(F527&lt;12,"Child",F527&lt;18,"Teen",F527&lt;25,"Young",F527&lt;40,"Adult",F527&lt;60,"Middle Age",F527&gt;=60,"Old")</f>
        <v>Adult</v>
      </c>
      <c r="H527" s="5" t="s">
        <v>2043</v>
      </c>
      <c r="I527" s="5" t="s">
        <v>2047</v>
      </c>
      <c r="J527" s="5" t="s">
        <v>2022</v>
      </c>
      <c r="K527" s="5" t="str">
        <f>VLOOKUP(J527,Sheet2!$A$1:$B$11,2,FALSE)</f>
        <v>Sportswear</v>
      </c>
      <c r="L527" s="5">
        <v>5</v>
      </c>
      <c r="M527" s="6">
        <v>1010</v>
      </c>
      <c r="N527" s="6">
        <v>5050</v>
      </c>
      <c r="O527" s="7">
        <v>0.1</v>
      </c>
      <c r="P527" s="8">
        <f t="shared" si="16"/>
        <v>505</v>
      </c>
      <c r="Q527" s="9">
        <f t="shared" si="17"/>
        <v>4545</v>
      </c>
      <c r="R527" s="5">
        <v>90</v>
      </c>
      <c r="S527" s="5" t="s">
        <v>2032</v>
      </c>
      <c r="T527" s="5" t="s">
        <v>2037</v>
      </c>
    </row>
    <row r="528" spans="1:20" x14ac:dyDescent="0.25">
      <c r="A528" s="5" t="s">
        <v>541</v>
      </c>
      <c r="B528" s="10">
        <v>45455</v>
      </c>
      <c r="C528" s="5" t="s">
        <v>1017</v>
      </c>
      <c r="D528" s="11" t="s">
        <v>1545</v>
      </c>
      <c r="E528" s="5" t="s">
        <v>2435</v>
      </c>
      <c r="F528" s="5">
        <v>54</v>
      </c>
      <c r="G528" s="5" t="str" cm="1">
        <f t="array" ref="G528">_xlfn.IFS(F528&lt;12,"Child",F528&lt;18,"Teen",F528&lt;25,"Young",F528&lt;40,"Adult",F528&lt;60,"Middle Age",F528&gt;=60,"Old")</f>
        <v>Middle Age</v>
      </c>
      <c r="H528" s="5" t="s">
        <v>2044</v>
      </c>
      <c r="I528" s="5" t="s">
        <v>2050</v>
      </c>
      <c r="J528" s="5" t="s">
        <v>2022</v>
      </c>
      <c r="K528" s="5" t="str">
        <f>VLOOKUP(J528,Sheet2!$A$1:$B$11,2,FALSE)</f>
        <v>Sportswear</v>
      </c>
      <c r="L528" s="5">
        <v>3</v>
      </c>
      <c r="M528" s="6">
        <v>714</v>
      </c>
      <c r="N528" s="6">
        <v>2142</v>
      </c>
      <c r="O528" s="7">
        <v>0.2</v>
      </c>
      <c r="P528" s="8">
        <f t="shared" si="16"/>
        <v>428.40000000000003</v>
      </c>
      <c r="Q528" s="9">
        <f t="shared" si="17"/>
        <v>1713.6</v>
      </c>
      <c r="R528" s="5">
        <v>34</v>
      </c>
      <c r="S528" s="5" t="s">
        <v>2033</v>
      </c>
      <c r="T528" s="5" t="s">
        <v>2035</v>
      </c>
    </row>
    <row r="529" spans="1:20" x14ac:dyDescent="0.25">
      <c r="A529" s="5" t="s">
        <v>542</v>
      </c>
      <c r="B529" s="10">
        <v>45565</v>
      </c>
      <c r="C529" s="5" t="s">
        <v>1016</v>
      </c>
      <c r="D529" s="11" t="s">
        <v>1546</v>
      </c>
      <c r="E529" s="5" t="s">
        <v>2582</v>
      </c>
      <c r="F529" s="5">
        <v>25</v>
      </c>
      <c r="G529" s="5" t="str" cm="1">
        <f t="array" ref="G529">_xlfn.IFS(F529&lt;12,"Child",F529&lt;18,"Teen",F529&lt;25,"Young",F529&lt;40,"Adult",F529&lt;60,"Middle Age",F529&gt;=60,"Old")</f>
        <v>Adult</v>
      </c>
      <c r="H529" s="5" t="s">
        <v>2043</v>
      </c>
      <c r="I529" s="5" t="s">
        <v>2048</v>
      </c>
      <c r="J529" s="5" t="s">
        <v>2016</v>
      </c>
      <c r="K529" s="5" t="str">
        <f>VLOOKUP(J529,Sheet2!$A$1:$B$11,2,FALSE)</f>
        <v>Winter Wear</v>
      </c>
      <c r="L529" s="5">
        <v>4</v>
      </c>
      <c r="M529" s="6">
        <v>861</v>
      </c>
      <c r="N529" s="6">
        <v>3444</v>
      </c>
      <c r="O529" s="7">
        <v>0.1</v>
      </c>
      <c r="P529" s="8">
        <f t="shared" si="16"/>
        <v>344.40000000000003</v>
      </c>
      <c r="Q529" s="9">
        <f t="shared" si="17"/>
        <v>3099.6</v>
      </c>
      <c r="R529" s="5">
        <v>61</v>
      </c>
      <c r="S529" s="5" t="s">
        <v>2032</v>
      </c>
      <c r="T529" s="5" t="s">
        <v>2036</v>
      </c>
    </row>
    <row r="530" spans="1:20" x14ac:dyDescent="0.25">
      <c r="A530" s="5" t="s">
        <v>543</v>
      </c>
      <c r="B530" s="10">
        <v>45420</v>
      </c>
      <c r="C530" s="5" t="s">
        <v>1017</v>
      </c>
      <c r="D530" s="11" t="s">
        <v>1547</v>
      </c>
      <c r="E530" s="5" t="s">
        <v>2583</v>
      </c>
      <c r="F530" s="5">
        <v>55</v>
      </c>
      <c r="G530" s="5" t="str" cm="1">
        <f t="array" ref="G530">_xlfn.IFS(F530&lt;12,"Child",F530&lt;18,"Teen",F530&lt;25,"Young",F530&lt;40,"Adult",F530&lt;60,"Middle Age",F530&gt;=60,"Old")</f>
        <v>Middle Age</v>
      </c>
      <c r="H530" s="5" t="s">
        <v>2043</v>
      </c>
      <c r="I530" s="5" t="s">
        <v>2053</v>
      </c>
      <c r="J530" s="5" t="s">
        <v>2018</v>
      </c>
      <c r="K530" s="5" t="str">
        <f>VLOOKUP(J530,Sheet2!$A$1:$B$11,2,FALSE)</f>
        <v>Sportswear</v>
      </c>
      <c r="L530" s="5">
        <v>1</v>
      </c>
      <c r="M530" s="6">
        <v>425</v>
      </c>
      <c r="N530" s="6">
        <v>425</v>
      </c>
      <c r="O530" s="7">
        <v>0.2</v>
      </c>
      <c r="P530" s="8">
        <f t="shared" si="16"/>
        <v>85</v>
      </c>
      <c r="Q530" s="9">
        <f t="shared" si="17"/>
        <v>340</v>
      </c>
      <c r="R530" s="5">
        <v>6</v>
      </c>
      <c r="S530" s="5" t="s">
        <v>2032</v>
      </c>
      <c r="T530" s="5" t="s">
        <v>2036</v>
      </c>
    </row>
    <row r="531" spans="1:20" x14ac:dyDescent="0.25">
      <c r="A531" s="5" t="s">
        <v>544</v>
      </c>
      <c r="B531" s="10">
        <v>45421</v>
      </c>
      <c r="C531" s="5" t="s">
        <v>1018</v>
      </c>
      <c r="D531" s="11" t="s">
        <v>1548</v>
      </c>
      <c r="E531" s="5" t="s">
        <v>2584</v>
      </c>
      <c r="F531" s="5">
        <v>28</v>
      </c>
      <c r="G531" s="5" t="str" cm="1">
        <f t="array" ref="G531">_xlfn.IFS(F531&lt;12,"Child",F531&lt;18,"Teen",F531&lt;25,"Young",F531&lt;40,"Adult",F531&lt;60,"Middle Age",F531&gt;=60,"Old")</f>
        <v>Adult</v>
      </c>
      <c r="H531" s="5" t="s">
        <v>2043</v>
      </c>
      <c r="I531" s="5" t="s">
        <v>2048</v>
      </c>
      <c r="J531" s="5" t="s">
        <v>2022</v>
      </c>
      <c r="K531" s="5" t="str">
        <f>VLOOKUP(J531,Sheet2!$A$1:$B$11,2,FALSE)</f>
        <v>Sportswear</v>
      </c>
      <c r="L531" s="5">
        <v>5</v>
      </c>
      <c r="M531" s="6">
        <v>809</v>
      </c>
      <c r="N531" s="6">
        <v>4045</v>
      </c>
      <c r="O531" s="7">
        <v>0</v>
      </c>
      <c r="P531" s="8">
        <f t="shared" si="16"/>
        <v>0</v>
      </c>
      <c r="Q531" s="9">
        <f t="shared" si="17"/>
        <v>4045</v>
      </c>
      <c r="R531" s="5">
        <v>80</v>
      </c>
      <c r="S531" s="5" t="s">
        <v>2034</v>
      </c>
      <c r="T531" s="5" t="s">
        <v>2037</v>
      </c>
    </row>
    <row r="532" spans="1:20" x14ac:dyDescent="0.25">
      <c r="A532" s="5" t="s">
        <v>545</v>
      </c>
      <c r="B532" s="10">
        <v>45466</v>
      </c>
      <c r="C532" s="5" t="s">
        <v>1015</v>
      </c>
      <c r="D532" s="11" t="s">
        <v>1549</v>
      </c>
      <c r="E532" s="5" t="s">
        <v>2585</v>
      </c>
      <c r="F532" s="5">
        <v>60</v>
      </c>
      <c r="G532" s="5" t="str" cm="1">
        <f t="array" ref="G532">_xlfn.IFS(F532&lt;12,"Child",F532&lt;18,"Teen",F532&lt;25,"Young",F532&lt;40,"Adult",F532&lt;60,"Middle Age",F532&gt;=60,"Old")</f>
        <v>Old</v>
      </c>
      <c r="H532" s="5" t="s">
        <v>2043</v>
      </c>
      <c r="I532" s="5" t="s">
        <v>2046</v>
      </c>
      <c r="J532" s="5" t="s">
        <v>2020</v>
      </c>
      <c r="K532" s="5" t="str">
        <f>VLOOKUP(J532,Sheet2!$A$1:$B$11,2,FALSE)</f>
        <v>Summer Wear</v>
      </c>
      <c r="L532" s="5">
        <v>2</v>
      </c>
      <c r="M532" s="6">
        <v>450</v>
      </c>
      <c r="N532" s="6">
        <v>900</v>
      </c>
      <c r="O532" s="7">
        <v>0.15</v>
      </c>
      <c r="P532" s="8">
        <f t="shared" si="16"/>
        <v>135</v>
      </c>
      <c r="Q532" s="9">
        <f t="shared" si="17"/>
        <v>765</v>
      </c>
      <c r="R532" s="5">
        <v>15</v>
      </c>
      <c r="S532" s="5" t="s">
        <v>2034</v>
      </c>
      <c r="T532" s="5" t="s">
        <v>2036</v>
      </c>
    </row>
    <row r="533" spans="1:20" x14ac:dyDescent="0.25">
      <c r="A533" s="5" t="s">
        <v>546</v>
      </c>
      <c r="B533" s="10">
        <v>45635</v>
      </c>
      <c r="C533" s="5" t="s">
        <v>1016</v>
      </c>
      <c r="D533" s="11" t="s">
        <v>1550</v>
      </c>
      <c r="E533" s="5" t="s">
        <v>2586</v>
      </c>
      <c r="F533" s="5">
        <v>36</v>
      </c>
      <c r="G533" s="5" t="str" cm="1">
        <f t="array" ref="G533">_xlfn.IFS(F533&lt;12,"Child",F533&lt;18,"Teen",F533&lt;25,"Young",F533&lt;40,"Adult",F533&lt;60,"Middle Age",F533&gt;=60,"Old")</f>
        <v>Adult</v>
      </c>
      <c r="H533" s="5" t="s">
        <v>2043</v>
      </c>
      <c r="I533" s="5" t="s">
        <v>2051</v>
      </c>
      <c r="J533" s="5" t="s">
        <v>2018</v>
      </c>
      <c r="K533" s="5" t="str">
        <f>VLOOKUP(J533,Sheet2!$A$1:$B$11,2,FALSE)</f>
        <v>Sportswear</v>
      </c>
      <c r="L533" s="5">
        <v>3</v>
      </c>
      <c r="M533" s="6">
        <v>491</v>
      </c>
      <c r="N533" s="6">
        <v>1473</v>
      </c>
      <c r="O533" s="7">
        <v>0.15</v>
      </c>
      <c r="P533" s="8">
        <f t="shared" si="16"/>
        <v>220.95</v>
      </c>
      <c r="Q533" s="9">
        <f t="shared" si="17"/>
        <v>1252.05</v>
      </c>
      <c r="R533" s="5">
        <v>25</v>
      </c>
      <c r="S533" s="5" t="s">
        <v>2032</v>
      </c>
      <c r="T533" s="5" t="s">
        <v>2036</v>
      </c>
    </row>
    <row r="534" spans="1:20" x14ac:dyDescent="0.25">
      <c r="A534" s="5" t="s">
        <v>547</v>
      </c>
      <c r="B534" s="10">
        <v>45505</v>
      </c>
      <c r="C534" s="5" t="s">
        <v>1018</v>
      </c>
      <c r="D534" s="11" t="s">
        <v>1551</v>
      </c>
      <c r="E534" s="5" t="s">
        <v>2587</v>
      </c>
      <c r="F534" s="5">
        <v>50</v>
      </c>
      <c r="G534" s="5" t="str" cm="1">
        <f t="array" ref="G534">_xlfn.IFS(F534&lt;12,"Child",F534&lt;18,"Teen",F534&lt;25,"Young",F534&lt;40,"Adult",F534&lt;60,"Middle Age",F534&gt;=60,"Old")</f>
        <v>Middle Age</v>
      </c>
      <c r="H534" s="5" t="s">
        <v>2044</v>
      </c>
      <c r="I534" s="5" t="s">
        <v>2049</v>
      </c>
      <c r="J534" s="5" t="s">
        <v>2018</v>
      </c>
      <c r="K534" s="5" t="str">
        <f>VLOOKUP(J534,Sheet2!$A$1:$B$11,2,FALSE)</f>
        <v>Sportswear</v>
      </c>
      <c r="L534" s="5">
        <v>1</v>
      </c>
      <c r="M534" s="6">
        <v>1146</v>
      </c>
      <c r="N534" s="6">
        <v>1146</v>
      </c>
      <c r="O534" s="7">
        <v>0</v>
      </c>
      <c r="P534" s="8">
        <f t="shared" si="16"/>
        <v>0</v>
      </c>
      <c r="Q534" s="9">
        <f t="shared" si="17"/>
        <v>1146</v>
      </c>
      <c r="R534" s="5">
        <v>22</v>
      </c>
      <c r="S534" s="5" t="s">
        <v>2033</v>
      </c>
      <c r="T534" s="5" t="s">
        <v>2037</v>
      </c>
    </row>
    <row r="535" spans="1:20" x14ac:dyDescent="0.25">
      <c r="A535" s="5" t="s">
        <v>548</v>
      </c>
      <c r="B535" s="10">
        <v>45642</v>
      </c>
      <c r="C535" s="5" t="s">
        <v>1016</v>
      </c>
      <c r="D535" s="11" t="s">
        <v>1552</v>
      </c>
      <c r="E535" s="5" t="s">
        <v>2588</v>
      </c>
      <c r="F535" s="5">
        <v>38</v>
      </c>
      <c r="G535" s="5" t="str" cm="1">
        <f t="array" ref="G535">_xlfn.IFS(F535&lt;12,"Child",F535&lt;18,"Teen",F535&lt;25,"Young",F535&lt;40,"Adult",F535&lt;60,"Middle Age",F535&gt;=60,"Old")</f>
        <v>Adult</v>
      </c>
      <c r="H535" s="5" t="s">
        <v>2044</v>
      </c>
      <c r="I535" s="5" t="s">
        <v>2050</v>
      </c>
      <c r="J535" s="5" t="s">
        <v>2017</v>
      </c>
      <c r="K535" s="5" t="str">
        <f>VLOOKUP(J535,Sheet2!$A$1:$B$11,2,FALSE)</f>
        <v>Casual Wear</v>
      </c>
      <c r="L535" s="5">
        <v>5</v>
      </c>
      <c r="M535" s="6">
        <v>281</v>
      </c>
      <c r="N535" s="6">
        <v>1405</v>
      </c>
      <c r="O535" s="7">
        <v>0</v>
      </c>
      <c r="P535" s="8">
        <f t="shared" si="16"/>
        <v>0</v>
      </c>
      <c r="Q535" s="9">
        <f t="shared" si="17"/>
        <v>1405</v>
      </c>
      <c r="R535" s="5">
        <v>28</v>
      </c>
      <c r="S535" s="5" t="s">
        <v>2032</v>
      </c>
      <c r="T535" s="5" t="s">
        <v>2036</v>
      </c>
    </row>
    <row r="536" spans="1:20" x14ac:dyDescent="0.25">
      <c r="A536" s="5" t="s">
        <v>549</v>
      </c>
      <c r="B536" s="10">
        <v>45377</v>
      </c>
      <c r="C536" s="5" t="s">
        <v>1019</v>
      </c>
      <c r="D536" s="11" t="s">
        <v>1553</v>
      </c>
      <c r="E536" s="5" t="s">
        <v>2589</v>
      </c>
      <c r="F536" s="5">
        <v>20</v>
      </c>
      <c r="G536" s="5" t="str" cm="1">
        <f t="array" ref="G536">_xlfn.IFS(F536&lt;12,"Child",F536&lt;18,"Teen",F536&lt;25,"Young",F536&lt;40,"Adult",F536&lt;60,"Middle Age",F536&gt;=60,"Old")</f>
        <v>Young</v>
      </c>
      <c r="H536" s="5" t="s">
        <v>2044</v>
      </c>
      <c r="I536" s="5" t="s">
        <v>2045</v>
      </c>
      <c r="J536" s="5" t="s">
        <v>2022</v>
      </c>
      <c r="K536" s="5" t="str">
        <f>VLOOKUP(J536,Sheet2!$A$1:$B$11,2,FALSE)</f>
        <v>Sportswear</v>
      </c>
      <c r="L536" s="5">
        <v>5</v>
      </c>
      <c r="M536" s="6">
        <v>1070</v>
      </c>
      <c r="N536" s="6">
        <v>5350</v>
      </c>
      <c r="O536" s="7">
        <v>0.05</v>
      </c>
      <c r="P536" s="8">
        <f t="shared" si="16"/>
        <v>267.5</v>
      </c>
      <c r="Q536" s="9">
        <f t="shared" si="17"/>
        <v>5082.5</v>
      </c>
      <c r="R536" s="5">
        <v>101</v>
      </c>
      <c r="S536" s="5" t="s">
        <v>2034</v>
      </c>
      <c r="T536" s="5" t="s">
        <v>2037</v>
      </c>
    </row>
    <row r="537" spans="1:20" x14ac:dyDescent="0.25">
      <c r="A537" s="5" t="s">
        <v>550</v>
      </c>
      <c r="B537" s="10">
        <v>45579</v>
      </c>
      <c r="C537" s="5" t="s">
        <v>1016</v>
      </c>
      <c r="D537" s="11" t="s">
        <v>1554</v>
      </c>
      <c r="E537" s="5" t="s">
        <v>2590</v>
      </c>
      <c r="F537" s="5">
        <v>50</v>
      </c>
      <c r="G537" s="5" t="str" cm="1">
        <f t="array" ref="G537">_xlfn.IFS(F537&lt;12,"Child",F537&lt;18,"Teen",F537&lt;25,"Young",F537&lt;40,"Adult",F537&lt;60,"Middle Age",F537&gt;=60,"Old")</f>
        <v>Middle Age</v>
      </c>
      <c r="H537" s="5" t="s">
        <v>2043</v>
      </c>
      <c r="I537" s="5" t="s">
        <v>2051</v>
      </c>
      <c r="J537" s="5" t="s">
        <v>2025</v>
      </c>
      <c r="K537" s="5" t="str">
        <f>VLOOKUP(J537,Sheet2!$A$1:$B$11,2,FALSE)</f>
        <v>Formal Wear</v>
      </c>
      <c r="L537" s="5">
        <v>4</v>
      </c>
      <c r="M537" s="6">
        <v>780</v>
      </c>
      <c r="N537" s="6">
        <v>3120</v>
      </c>
      <c r="O537" s="7">
        <v>0.05</v>
      </c>
      <c r="P537" s="8">
        <f t="shared" si="16"/>
        <v>156</v>
      </c>
      <c r="Q537" s="9">
        <f t="shared" si="17"/>
        <v>2964</v>
      </c>
      <c r="R537" s="5">
        <v>59</v>
      </c>
      <c r="S537" s="5" t="s">
        <v>2034</v>
      </c>
      <c r="T537" s="5" t="s">
        <v>2035</v>
      </c>
    </row>
    <row r="538" spans="1:20" x14ac:dyDescent="0.25">
      <c r="A538" s="5" t="s">
        <v>551</v>
      </c>
      <c r="B538" s="10">
        <v>45529</v>
      </c>
      <c r="C538" s="5" t="s">
        <v>1015</v>
      </c>
      <c r="D538" s="11" t="s">
        <v>1555</v>
      </c>
      <c r="E538" s="5" t="s">
        <v>2244</v>
      </c>
      <c r="F538" s="5">
        <v>20</v>
      </c>
      <c r="G538" s="5" t="str" cm="1">
        <f t="array" ref="G538">_xlfn.IFS(F538&lt;12,"Child",F538&lt;18,"Teen",F538&lt;25,"Young",F538&lt;40,"Adult",F538&lt;60,"Middle Age",F538&gt;=60,"Old")</f>
        <v>Young</v>
      </c>
      <c r="H538" s="5" t="s">
        <v>2043</v>
      </c>
      <c r="I538" s="5" t="s">
        <v>2052</v>
      </c>
      <c r="J538" s="5" t="s">
        <v>2020</v>
      </c>
      <c r="K538" s="5" t="str">
        <f>VLOOKUP(J538,Sheet2!$A$1:$B$11,2,FALSE)</f>
        <v>Summer Wear</v>
      </c>
      <c r="L538" s="5">
        <v>5</v>
      </c>
      <c r="M538" s="6">
        <v>617</v>
      </c>
      <c r="N538" s="6">
        <v>3085</v>
      </c>
      <c r="O538" s="7">
        <v>0.15</v>
      </c>
      <c r="P538" s="8">
        <f t="shared" si="16"/>
        <v>462.75</v>
      </c>
      <c r="Q538" s="9">
        <f t="shared" si="17"/>
        <v>2622.25</v>
      </c>
      <c r="R538" s="5">
        <v>52</v>
      </c>
      <c r="S538" s="5" t="s">
        <v>2033</v>
      </c>
      <c r="T538" s="5" t="s">
        <v>2035</v>
      </c>
    </row>
    <row r="539" spans="1:20" x14ac:dyDescent="0.25">
      <c r="A539" s="5" t="s">
        <v>552</v>
      </c>
      <c r="B539" s="10">
        <v>45685</v>
      </c>
      <c r="C539" s="5" t="s">
        <v>1019</v>
      </c>
      <c r="D539" s="11" t="s">
        <v>1556</v>
      </c>
      <c r="E539" s="5" t="s">
        <v>2591</v>
      </c>
      <c r="F539" s="5">
        <v>23</v>
      </c>
      <c r="G539" s="5" t="str" cm="1">
        <f t="array" ref="G539">_xlfn.IFS(F539&lt;12,"Child",F539&lt;18,"Teen",F539&lt;25,"Young",F539&lt;40,"Adult",F539&lt;60,"Middle Age",F539&gt;=60,"Old")</f>
        <v>Young</v>
      </c>
      <c r="H539" s="5" t="s">
        <v>2044</v>
      </c>
      <c r="I539" s="5" t="s">
        <v>2053</v>
      </c>
      <c r="J539" s="5" t="s">
        <v>2016</v>
      </c>
      <c r="K539" s="5" t="str">
        <f>VLOOKUP(J539,Sheet2!$A$1:$B$11,2,FALSE)</f>
        <v>Winter Wear</v>
      </c>
      <c r="L539" s="5">
        <v>3</v>
      </c>
      <c r="M539" s="6">
        <v>1194</v>
      </c>
      <c r="N539" s="6">
        <v>3582</v>
      </c>
      <c r="O539" s="7">
        <v>0.1</v>
      </c>
      <c r="P539" s="8">
        <f t="shared" si="16"/>
        <v>358.20000000000005</v>
      </c>
      <c r="Q539" s="9">
        <f t="shared" si="17"/>
        <v>3223.8</v>
      </c>
      <c r="R539" s="5">
        <v>64</v>
      </c>
      <c r="S539" s="5" t="s">
        <v>2034</v>
      </c>
      <c r="T539" s="5" t="s">
        <v>2036</v>
      </c>
    </row>
    <row r="540" spans="1:20" x14ac:dyDescent="0.25">
      <c r="A540" s="5" t="s">
        <v>553</v>
      </c>
      <c r="B540" s="10">
        <v>45573</v>
      </c>
      <c r="C540" s="5" t="s">
        <v>1019</v>
      </c>
      <c r="D540" s="11" t="s">
        <v>1557</v>
      </c>
      <c r="E540" s="5" t="s">
        <v>2592</v>
      </c>
      <c r="F540" s="5">
        <v>21</v>
      </c>
      <c r="G540" s="5" t="str" cm="1">
        <f t="array" ref="G540">_xlfn.IFS(F540&lt;12,"Child",F540&lt;18,"Teen",F540&lt;25,"Young",F540&lt;40,"Adult",F540&lt;60,"Middle Age",F540&gt;=60,"Old")</f>
        <v>Young</v>
      </c>
      <c r="H540" s="5" t="s">
        <v>2044</v>
      </c>
      <c r="I540" s="5" t="s">
        <v>2049</v>
      </c>
      <c r="J540" s="5" t="s">
        <v>2018</v>
      </c>
      <c r="K540" s="5" t="str">
        <f>VLOOKUP(J540,Sheet2!$A$1:$B$11,2,FALSE)</f>
        <v>Sportswear</v>
      </c>
      <c r="L540" s="5">
        <v>4</v>
      </c>
      <c r="M540" s="6">
        <v>830</v>
      </c>
      <c r="N540" s="6">
        <v>3320</v>
      </c>
      <c r="O540" s="7">
        <v>0.05</v>
      </c>
      <c r="P540" s="8">
        <f t="shared" si="16"/>
        <v>166</v>
      </c>
      <c r="Q540" s="9">
        <f t="shared" si="17"/>
        <v>3154</v>
      </c>
      <c r="R540" s="5">
        <v>63</v>
      </c>
      <c r="S540" s="5" t="s">
        <v>2033</v>
      </c>
      <c r="T540" s="5" t="s">
        <v>2036</v>
      </c>
    </row>
    <row r="541" spans="1:20" x14ac:dyDescent="0.25">
      <c r="A541" s="5" t="s">
        <v>554</v>
      </c>
      <c r="B541" s="10">
        <v>45475</v>
      </c>
      <c r="C541" s="5" t="s">
        <v>1019</v>
      </c>
      <c r="D541" s="11" t="s">
        <v>1558</v>
      </c>
      <c r="E541" s="5" t="s">
        <v>2593</v>
      </c>
      <c r="F541" s="5">
        <v>39</v>
      </c>
      <c r="G541" s="5" t="str" cm="1">
        <f t="array" ref="G541">_xlfn.IFS(F541&lt;12,"Child",F541&lt;18,"Teen",F541&lt;25,"Young",F541&lt;40,"Adult",F541&lt;60,"Middle Age",F541&gt;=60,"Old")</f>
        <v>Adult</v>
      </c>
      <c r="H541" s="5" t="s">
        <v>2043</v>
      </c>
      <c r="I541" s="5" t="s">
        <v>2051</v>
      </c>
      <c r="J541" s="5" t="s">
        <v>2022</v>
      </c>
      <c r="K541" s="5" t="str">
        <f>VLOOKUP(J541,Sheet2!$A$1:$B$11,2,FALSE)</f>
        <v>Sportswear</v>
      </c>
      <c r="L541" s="5">
        <v>2</v>
      </c>
      <c r="M541" s="6">
        <v>1175</v>
      </c>
      <c r="N541" s="6">
        <v>2350</v>
      </c>
      <c r="O541" s="7">
        <v>0.15</v>
      </c>
      <c r="P541" s="8">
        <f t="shared" si="16"/>
        <v>352.5</v>
      </c>
      <c r="Q541" s="9">
        <f t="shared" si="17"/>
        <v>1997.5</v>
      </c>
      <c r="R541" s="5">
        <v>39</v>
      </c>
      <c r="S541" s="5" t="s">
        <v>2032</v>
      </c>
      <c r="T541" s="5" t="s">
        <v>2036</v>
      </c>
    </row>
    <row r="542" spans="1:20" x14ac:dyDescent="0.25">
      <c r="A542" s="5" t="s">
        <v>555</v>
      </c>
      <c r="B542" s="10">
        <v>45691</v>
      </c>
      <c r="C542" s="5" t="s">
        <v>1016</v>
      </c>
      <c r="D542" s="11" t="s">
        <v>1559</v>
      </c>
      <c r="E542" s="5" t="s">
        <v>2594</v>
      </c>
      <c r="F542" s="5">
        <v>18</v>
      </c>
      <c r="G542" s="5" t="str" cm="1">
        <f t="array" ref="G542">_xlfn.IFS(F542&lt;12,"Child",F542&lt;18,"Teen",F542&lt;25,"Young",F542&lt;40,"Adult",F542&lt;60,"Middle Age",F542&gt;=60,"Old")</f>
        <v>Young</v>
      </c>
      <c r="H542" s="5" t="s">
        <v>2043</v>
      </c>
      <c r="I542" s="5" t="s">
        <v>2015</v>
      </c>
      <c r="J542" s="5" t="s">
        <v>2016</v>
      </c>
      <c r="K542" s="5" t="str">
        <f>VLOOKUP(J542,Sheet2!$A$1:$B$11,2,FALSE)</f>
        <v>Winter Wear</v>
      </c>
      <c r="L542" s="5">
        <v>4</v>
      </c>
      <c r="M542" s="6">
        <v>791</v>
      </c>
      <c r="N542" s="6">
        <v>3164</v>
      </c>
      <c r="O542" s="7">
        <v>0</v>
      </c>
      <c r="P542" s="8">
        <f t="shared" si="16"/>
        <v>0</v>
      </c>
      <c r="Q542" s="9">
        <f t="shared" si="17"/>
        <v>3164</v>
      </c>
      <c r="R542" s="5">
        <v>63</v>
      </c>
      <c r="S542" s="5" t="s">
        <v>2033</v>
      </c>
      <c r="T542" s="5" t="s">
        <v>2036</v>
      </c>
    </row>
    <row r="543" spans="1:20" x14ac:dyDescent="0.25">
      <c r="A543" s="5" t="s">
        <v>556</v>
      </c>
      <c r="B543" s="10">
        <v>45449</v>
      </c>
      <c r="C543" s="5" t="s">
        <v>1018</v>
      </c>
      <c r="D543" s="11" t="s">
        <v>1560</v>
      </c>
      <c r="E543" s="5" t="s">
        <v>2595</v>
      </c>
      <c r="F543" s="5">
        <v>52</v>
      </c>
      <c r="G543" s="5" t="str" cm="1">
        <f t="array" ref="G543">_xlfn.IFS(F543&lt;12,"Child",F543&lt;18,"Teen",F543&lt;25,"Young",F543&lt;40,"Adult",F543&lt;60,"Middle Age",F543&gt;=60,"Old")</f>
        <v>Middle Age</v>
      </c>
      <c r="H543" s="5" t="s">
        <v>2043</v>
      </c>
      <c r="I543" s="5" t="s">
        <v>2048</v>
      </c>
      <c r="J543" s="5" t="s">
        <v>2021</v>
      </c>
      <c r="K543" s="5" t="str">
        <f>VLOOKUP(J543,Sheet2!$A$1:$B$11,2,FALSE)</f>
        <v>Casual Wear</v>
      </c>
      <c r="L543" s="5">
        <v>1</v>
      </c>
      <c r="M543" s="6">
        <v>387</v>
      </c>
      <c r="N543" s="6">
        <v>387</v>
      </c>
      <c r="O543" s="7">
        <v>0</v>
      </c>
      <c r="P543" s="8">
        <f t="shared" si="16"/>
        <v>0</v>
      </c>
      <c r="Q543" s="9">
        <f t="shared" si="17"/>
        <v>387</v>
      </c>
      <c r="R543" s="5">
        <v>7</v>
      </c>
      <c r="S543" s="5" t="s">
        <v>2032</v>
      </c>
      <c r="T543" s="5" t="s">
        <v>2036</v>
      </c>
    </row>
    <row r="544" spans="1:20" x14ac:dyDescent="0.25">
      <c r="A544" s="5" t="s">
        <v>557</v>
      </c>
      <c r="B544" s="10">
        <v>45640</v>
      </c>
      <c r="C544" s="5" t="s">
        <v>1020</v>
      </c>
      <c r="D544" s="11" t="s">
        <v>1561</v>
      </c>
      <c r="E544" s="5" t="s">
        <v>2596</v>
      </c>
      <c r="F544" s="5">
        <v>20</v>
      </c>
      <c r="G544" s="5" t="str" cm="1">
        <f t="array" ref="G544">_xlfn.IFS(F544&lt;12,"Child",F544&lt;18,"Teen",F544&lt;25,"Young",F544&lt;40,"Adult",F544&lt;60,"Middle Age",F544&gt;=60,"Old")</f>
        <v>Young</v>
      </c>
      <c r="H544" s="5" t="s">
        <v>2043</v>
      </c>
      <c r="I544" s="5" t="s">
        <v>2049</v>
      </c>
      <c r="J544" s="5" t="s">
        <v>2021</v>
      </c>
      <c r="K544" s="5" t="str">
        <f>VLOOKUP(J544,Sheet2!$A$1:$B$11,2,FALSE)</f>
        <v>Casual Wear</v>
      </c>
      <c r="L544" s="5">
        <v>4</v>
      </c>
      <c r="M544" s="6">
        <v>1061</v>
      </c>
      <c r="N544" s="6">
        <v>4244</v>
      </c>
      <c r="O544" s="7">
        <v>0</v>
      </c>
      <c r="P544" s="8">
        <f t="shared" si="16"/>
        <v>0</v>
      </c>
      <c r="Q544" s="9">
        <f t="shared" si="17"/>
        <v>4244</v>
      </c>
      <c r="R544" s="5">
        <v>84</v>
      </c>
      <c r="S544" s="5" t="s">
        <v>2034</v>
      </c>
      <c r="T544" s="5" t="s">
        <v>2037</v>
      </c>
    </row>
    <row r="545" spans="1:20" x14ac:dyDescent="0.25">
      <c r="A545" s="5" t="s">
        <v>558</v>
      </c>
      <c r="B545" s="10">
        <v>45465</v>
      </c>
      <c r="C545" s="5" t="s">
        <v>1020</v>
      </c>
      <c r="D545" s="11" t="s">
        <v>1562</v>
      </c>
      <c r="E545" s="5" t="s">
        <v>2597</v>
      </c>
      <c r="F545" s="5">
        <v>26</v>
      </c>
      <c r="G545" s="5" t="str" cm="1">
        <f t="array" ref="G545">_xlfn.IFS(F545&lt;12,"Child",F545&lt;18,"Teen",F545&lt;25,"Young",F545&lt;40,"Adult",F545&lt;60,"Middle Age",F545&gt;=60,"Old")</f>
        <v>Adult</v>
      </c>
      <c r="H545" s="5" t="s">
        <v>2044</v>
      </c>
      <c r="I545" s="5" t="s">
        <v>2048</v>
      </c>
      <c r="J545" s="5" t="s">
        <v>2025</v>
      </c>
      <c r="K545" s="5" t="str">
        <f>VLOOKUP(J545,Sheet2!$A$1:$B$11,2,FALSE)</f>
        <v>Formal Wear</v>
      </c>
      <c r="L545" s="5">
        <v>5</v>
      </c>
      <c r="M545" s="6">
        <v>765</v>
      </c>
      <c r="N545" s="6">
        <v>3825</v>
      </c>
      <c r="O545" s="7">
        <v>0.15</v>
      </c>
      <c r="P545" s="8">
        <f t="shared" si="16"/>
        <v>573.75</v>
      </c>
      <c r="Q545" s="9">
        <f t="shared" si="17"/>
        <v>3251.25</v>
      </c>
      <c r="R545" s="5">
        <v>65</v>
      </c>
      <c r="S545" s="5" t="s">
        <v>2033</v>
      </c>
      <c r="T545" s="5" t="s">
        <v>2035</v>
      </c>
    </row>
    <row r="546" spans="1:20" x14ac:dyDescent="0.25">
      <c r="A546" s="5" t="s">
        <v>559</v>
      </c>
      <c r="B546" s="10">
        <v>45643</v>
      </c>
      <c r="C546" s="5" t="s">
        <v>1019</v>
      </c>
      <c r="D546" s="11" t="s">
        <v>1563</v>
      </c>
      <c r="E546" s="5" t="s">
        <v>2585</v>
      </c>
      <c r="F546" s="5">
        <v>45</v>
      </c>
      <c r="G546" s="5" t="str" cm="1">
        <f t="array" ref="G546">_xlfn.IFS(F546&lt;12,"Child",F546&lt;18,"Teen",F546&lt;25,"Young",F546&lt;40,"Adult",F546&lt;60,"Middle Age",F546&gt;=60,"Old")</f>
        <v>Middle Age</v>
      </c>
      <c r="H546" s="5" t="s">
        <v>2044</v>
      </c>
      <c r="I546" s="5" t="s">
        <v>2053</v>
      </c>
      <c r="J546" s="5" t="s">
        <v>2020</v>
      </c>
      <c r="K546" s="5" t="str">
        <f>VLOOKUP(J546,Sheet2!$A$1:$B$11,2,FALSE)</f>
        <v>Summer Wear</v>
      </c>
      <c r="L546" s="5">
        <v>2</v>
      </c>
      <c r="M546" s="6">
        <v>1020</v>
      </c>
      <c r="N546" s="6">
        <v>2040</v>
      </c>
      <c r="O546" s="7">
        <v>0</v>
      </c>
      <c r="P546" s="8">
        <f t="shared" si="16"/>
        <v>0</v>
      </c>
      <c r="Q546" s="9">
        <f t="shared" si="17"/>
        <v>2040</v>
      </c>
      <c r="R546" s="5">
        <v>40</v>
      </c>
      <c r="S546" s="5" t="s">
        <v>2034</v>
      </c>
      <c r="T546" s="5" t="s">
        <v>2035</v>
      </c>
    </row>
    <row r="547" spans="1:20" x14ac:dyDescent="0.25">
      <c r="A547" s="5" t="s">
        <v>560</v>
      </c>
      <c r="B547" s="10">
        <v>45697</v>
      </c>
      <c r="C547" s="5" t="s">
        <v>1015</v>
      </c>
      <c r="D547" s="11" t="s">
        <v>1564</v>
      </c>
      <c r="E547" s="5" t="s">
        <v>2598</v>
      </c>
      <c r="F547" s="5">
        <v>44</v>
      </c>
      <c r="G547" s="5" t="str" cm="1">
        <f t="array" ref="G547">_xlfn.IFS(F547&lt;12,"Child",F547&lt;18,"Teen",F547&lt;25,"Young",F547&lt;40,"Adult",F547&lt;60,"Middle Age",F547&gt;=60,"Old")</f>
        <v>Middle Age</v>
      </c>
      <c r="H547" s="5" t="s">
        <v>2043</v>
      </c>
      <c r="I547" s="5" t="s">
        <v>2015</v>
      </c>
      <c r="J547" s="5" t="s">
        <v>2022</v>
      </c>
      <c r="K547" s="5" t="str">
        <f>VLOOKUP(J547,Sheet2!$A$1:$B$11,2,FALSE)</f>
        <v>Sportswear</v>
      </c>
      <c r="L547" s="5">
        <v>4</v>
      </c>
      <c r="M547" s="6">
        <v>536</v>
      </c>
      <c r="N547" s="6">
        <v>2144</v>
      </c>
      <c r="O547" s="7">
        <v>0.05</v>
      </c>
      <c r="P547" s="8">
        <f t="shared" si="16"/>
        <v>107.2</v>
      </c>
      <c r="Q547" s="9">
        <f t="shared" si="17"/>
        <v>2036.8</v>
      </c>
      <c r="R547" s="5">
        <v>40</v>
      </c>
      <c r="S547" s="5" t="s">
        <v>2034</v>
      </c>
      <c r="T547" s="5" t="s">
        <v>2037</v>
      </c>
    </row>
    <row r="548" spans="1:20" x14ac:dyDescent="0.25">
      <c r="A548" s="5" t="s">
        <v>561</v>
      </c>
      <c r="B548" s="10">
        <v>45399</v>
      </c>
      <c r="C548" s="5" t="s">
        <v>1017</v>
      </c>
      <c r="D548" s="11" t="s">
        <v>1565</v>
      </c>
      <c r="E548" s="5" t="s">
        <v>2599</v>
      </c>
      <c r="F548" s="5">
        <v>31</v>
      </c>
      <c r="G548" s="5" t="str" cm="1">
        <f t="array" ref="G548">_xlfn.IFS(F548&lt;12,"Child",F548&lt;18,"Teen",F548&lt;25,"Young",F548&lt;40,"Adult",F548&lt;60,"Middle Age",F548&gt;=60,"Old")</f>
        <v>Adult</v>
      </c>
      <c r="H548" s="5" t="s">
        <v>2044</v>
      </c>
      <c r="I548" s="5" t="s">
        <v>2046</v>
      </c>
      <c r="J548" s="5" t="s">
        <v>2022</v>
      </c>
      <c r="K548" s="5" t="str">
        <f>VLOOKUP(J548,Sheet2!$A$1:$B$11,2,FALSE)</f>
        <v>Sportswear</v>
      </c>
      <c r="L548" s="5">
        <v>5</v>
      </c>
      <c r="M548" s="6">
        <v>332</v>
      </c>
      <c r="N548" s="6">
        <v>1660</v>
      </c>
      <c r="O548" s="7">
        <v>0</v>
      </c>
      <c r="P548" s="8">
        <f t="shared" si="16"/>
        <v>0</v>
      </c>
      <c r="Q548" s="9">
        <f t="shared" si="17"/>
        <v>1660</v>
      </c>
      <c r="R548" s="5">
        <v>33</v>
      </c>
      <c r="S548" s="5" t="s">
        <v>2033</v>
      </c>
      <c r="T548" s="5" t="s">
        <v>2036</v>
      </c>
    </row>
    <row r="549" spans="1:20" x14ac:dyDescent="0.25">
      <c r="A549" s="5" t="s">
        <v>562</v>
      </c>
      <c r="B549" s="10">
        <v>45490</v>
      </c>
      <c r="C549" s="5" t="s">
        <v>1017</v>
      </c>
      <c r="D549" s="11" t="s">
        <v>1566</v>
      </c>
      <c r="E549" s="5" t="s">
        <v>2600</v>
      </c>
      <c r="F549" s="5">
        <v>48</v>
      </c>
      <c r="G549" s="5" t="str" cm="1">
        <f t="array" ref="G549">_xlfn.IFS(F549&lt;12,"Child",F549&lt;18,"Teen",F549&lt;25,"Young",F549&lt;40,"Adult",F549&lt;60,"Middle Age",F549&gt;=60,"Old")</f>
        <v>Middle Age</v>
      </c>
      <c r="H549" s="5" t="s">
        <v>2044</v>
      </c>
      <c r="I549" s="5" t="s">
        <v>2050</v>
      </c>
      <c r="J549" s="5" t="s">
        <v>2025</v>
      </c>
      <c r="K549" s="5" t="str">
        <f>VLOOKUP(J549,Sheet2!$A$1:$B$11,2,FALSE)</f>
        <v>Formal Wear</v>
      </c>
      <c r="L549" s="5">
        <v>2</v>
      </c>
      <c r="M549" s="6">
        <v>490</v>
      </c>
      <c r="N549" s="6">
        <v>980</v>
      </c>
      <c r="O549" s="7">
        <v>0.1</v>
      </c>
      <c r="P549" s="8">
        <f t="shared" si="16"/>
        <v>98</v>
      </c>
      <c r="Q549" s="9">
        <f t="shared" si="17"/>
        <v>882</v>
      </c>
      <c r="R549" s="5">
        <v>17</v>
      </c>
      <c r="S549" s="5" t="s">
        <v>2034</v>
      </c>
      <c r="T549" s="5" t="s">
        <v>2037</v>
      </c>
    </row>
    <row r="550" spans="1:20" x14ac:dyDescent="0.25">
      <c r="A550" s="5" t="s">
        <v>563</v>
      </c>
      <c r="B550" s="10">
        <v>45382</v>
      </c>
      <c r="C550" s="5" t="s">
        <v>1015</v>
      </c>
      <c r="D550" s="11" t="s">
        <v>1567</v>
      </c>
      <c r="E550" s="5" t="s">
        <v>2601</v>
      </c>
      <c r="F550" s="5">
        <v>35</v>
      </c>
      <c r="G550" s="5" t="str" cm="1">
        <f t="array" ref="G550">_xlfn.IFS(F550&lt;12,"Child",F550&lt;18,"Teen",F550&lt;25,"Young",F550&lt;40,"Adult",F550&lt;60,"Middle Age",F550&gt;=60,"Old")</f>
        <v>Adult</v>
      </c>
      <c r="H550" s="5" t="s">
        <v>2043</v>
      </c>
      <c r="I550" s="5" t="s">
        <v>2051</v>
      </c>
      <c r="J550" s="5" t="s">
        <v>2024</v>
      </c>
      <c r="K550" s="5" t="str">
        <f>VLOOKUP(J550,Sheet2!$A$1:$B$11,2,FALSE)</f>
        <v>Fashion Accessories</v>
      </c>
      <c r="L550" s="5">
        <v>5</v>
      </c>
      <c r="M550" s="6">
        <v>990</v>
      </c>
      <c r="N550" s="6">
        <v>4950</v>
      </c>
      <c r="O550" s="7">
        <v>0.2</v>
      </c>
      <c r="P550" s="8">
        <f t="shared" si="16"/>
        <v>990</v>
      </c>
      <c r="Q550" s="9">
        <f t="shared" si="17"/>
        <v>3960</v>
      </c>
      <c r="R550" s="5">
        <v>79</v>
      </c>
      <c r="S550" s="5" t="s">
        <v>2034</v>
      </c>
      <c r="T550" s="5" t="s">
        <v>2036</v>
      </c>
    </row>
    <row r="551" spans="1:20" x14ac:dyDescent="0.25">
      <c r="A551" s="5" t="s">
        <v>564</v>
      </c>
      <c r="B551" s="10">
        <v>45382</v>
      </c>
      <c r="C551" s="5" t="s">
        <v>1015</v>
      </c>
      <c r="D551" s="11" t="s">
        <v>1568</v>
      </c>
      <c r="E551" s="5" t="s">
        <v>2602</v>
      </c>
      <c r="F551" s="5">
        <v>51</v>
      </c>
      <c r="G551" s="5" t="str" cm="1">
        <f t="array" ref="G551">_xlfn.IFS(F551&lt;12,"Child",F551&lt;18,"Teen",F551&lt;25,"Young",F551&lt;40,"Adult",F551&lt;60,"Middle Age",F551&gt;=60,"Old")</f>
        <v>Middle Age</v>
      </c>
      <c r="H551" s="5" t="s">
        <v>2044</v>
      </c>
      <c r="I551" s="5" t="s">
        <v>2052</v>
      </c>
      <c r="J551" s="5" t="s">
        <v>2025</v>
      </c>
      <c r="K551" s="5" t="str">
        <f>VLOOKUP(J551,Sheet2!$A$1:$B$11,2,FALSE)</f>
        <v>Formal Wear</v>
      </c>
      <c r="L551" s="5">
        <v>3</v>
      </c>
      <c r="M551" s="6">
        <v>305</v>
      </c>
      <c r="N551" s="6">
        <v>915</v>
      </c>
      <c r="O551" s="7">
        <v>0.15</v>
      </c>
      <c r="P551" s="8">
        <f t="shared" si="16"/>
        <v>137.25</v>
      </c>
      <c r="Q551" s="9">
        <f t="shared" si="17"/>
        <v>777.75</v>
      </c>
      <c r="R551" s="5">
        <v>15</v>
      </c>
      <c r="S551" s="5" t="s">
        <v>2032</v>
      </c>
      <c r="T551" s="5" t="s">
        <v>2036</v>
      </c>
    </row>
    <row r="552" spans="1:20" x14ac:dyDescent="0.25">
      <c r="A552" s="5" t="s">
        <v>565</v>
      </c>
      <c r="B552" s="10">
        <v>45500</v>
      </c>
      <c r="C552" s="5" t="s">
        <v>1020</v>
      </c>
      <c r="D552" s="11" t="s">
        <v>1569</v>
      </c>
      <c r="E552" s="5" t="s">
        <v>2603</v>
      </c>
      <c r="F552" s="5">
        <v>44</v>
      </c>
      <c r="G552" s="5" t="str" cm="1">
        <f t="array" ref="G552">_xlfn.IFS(F552&lt;12,"Child",F552&lt;18,"Teen",F552&lt;25,"Young",F552&lt;40,"Adult",F552&lt;60,"Middle Age",F552&gt;=60,"Old")</f>
        <v>Middle Age</v>
      </c>
      <c r="H552" s="5" t="s">
        <v>2043</v>
      </c>
      <c r="I552" s="5" t="s">
        <v>2049</v>
      </c>
      <c r="J552" s="5" t="s">
        <v>2018</v>
      </c>
      <c r="K552" s="5" t="str">
        <f>VLOOKUP(J552,Sheet2!$A$1:$B$11,2,FALSE)</f>
        <v>Sportswear</v>
      </c>
      <c r="L552" s="5">
        <v>4</v>
      </c>
      <c r="M552" s="6">
        <v>1173</v>
      </c>
      <c r="N552" s="6">
        <v>4692</v>
      </c>
      <c r="O552" s="7">
        <v>0.1</v>
      </c>
      <c r="P552" s="8">
        <f t="shared" si="16"/>
        <v>469.20000000000005</v>
      </c>
      <c r="Q552" s="9">
        <f t="shared" si="17"/>
        <v>4222.8</v>
      </c>
      <c r="R552" s="5">
        <v>84</v>
      </c>
      <c r="S552" s="5" t="s">
        <v>2034</v>
      </c>
      <c r="T552" s="5" t="s">
        <v>2037</v>
      </c>
    </row>
    <row r="553" spans="1:20" x14ac:dyDescent="0.25">
      <c r="A553" s="5" t="s">
        <v>566</v>
      </c>
      <c r="B553" s="10">
        <v>45528</v>
      </c>
      <c r="C553" s="5" t="s">
        <v>1020</v>
      </c>
      <c r="D553" s="11" t="s">
        <v>1570</v>
      </c>
      <c r="E553" s="5" t="s">
        <v>2604</v>
      </c>
      <c r="F553" s="5">
        <v>25</v>
      </c>
      <c r="G553" s="5" t="str" cm="1">
        <f t="array" ref="G553">_xlfn.IFS(F553&lt;12,"Child",F553&lt;18,"Teen",F553&lt;25,"Young",F553&lt;40,"Adult",F553&lt;60,"Middle Age",F553&gt;=60,"Old")</f>
        <v>Adult</v>
      </c>
      <c r="H553" s="5" t="s">
        <v>2043</v>
      </c>
      <c r="I553" s="5" t="s">
        <v>2052</v>
      </c>
      <c r="J553" s="5" t="s">
        <v>2020</v>
      </c>
      <c r="K553" s="5" t="str">
        <f>VLOOKUP(J553,Sheet2!$A$1:$B$11,2,FALSE)</f>
        <v>Summer Wear</v>
      </c>
      <c r="L553" s="5">
        <v>1</v>
      </c>
      <c r="M553" s="6">
        <v>990</v>
      </c>
      <c r="N553" s="6">
        <v>990</v>
      </c>
      <c r="O553" s="7">
        <v>0.15</v>
      </c>
      <c r="P553" s="8">
        <f t="shared" si="16"/>
        <v>148.5</v>
      </c>
      <c r="Q553" s="9">
        <f t="shared" si="17"/>
        <v>841.5</v>
      </c>
      <c r="R553" s="5">
        <v>16</v>
      </c>
      <c r="S553" s="5" t="s">
        <v>2032</v>
      </c>
      <c r="T553" s="5" t="s">
        <v>2035</v>
      </c>
    </row>
    <row r="554" spans="1:20" x14ac:dyDescent="0.25">
      <c r="A554" s="5" t="s">
        <v>567</v>
      </c>
      <c r="B554" s="10">
        <v>45682</v>
      </c>
      <c r="C554" s="5" t="s">
        <v>1020</v>
      </c>
      <c r="D554" s="11" t="s">
        <v>1571</v>
      </c>
      <c r="E554" s="5" t="s">
        <v>2605</v>
      </c>
      <c r="F554" s="5">
        <v>50</v>
      </c>
      <c r="G554" s="5" t="str" cm="1">
        <f t="array" ref="G554">_xlfn.IFS(F554&lt;12,"Child",F554&lt;18,"Teen",F554&lt;25,"Young",F554&lt;40,"Adult",F554&lt;60,"Middle Age",F554&gt;=60,"Old")</f>
        <v>Middle Age</v>
      </c>
      <c r="H554" s="5" t="s">
        <v>2043</v>
      </c>
      <c r="I554" s="5" t="s">
        <v>2046</v>
      </c>
      <c r="J554" s="5" t="s">
        <v>2025</v>
      </c>
      <c r="K554" s="5" t="str">
        <f>VLOOKUP(J554,Sheet2!$A$1:$B$11,2,FALSE)</f>
        <v>Formal Wear</v>
      </c>
      <c r="L554" s="5">
        <v>3</v>
      </c>
      <c r="M554" s="6">
        <v>881</v>
      </c>
      <c r="N554" s="6">
        <v>2643</v>
      </c>
      <c r="O554" s="7">
        <v>0</v>
      </c>
      <c r="P554" s="8">
        <f t="shared" si="16"/>
        <v>0</v>
      </c>
      <c r="Q554" s="9">
        <f t="shared" si="17"/>
        <v>2643</v>
      </c>
      <c r="R554" s="5">
        <v>52</v>
      </c>
      <c r="S554" s="5" t="s">
        <v>2033</v>
      </c>
      <c r="T554" s="5" t="s">
        <v>2035</v>
      </c>
    </row>
    <row r="555" spans="1:20" x14ac:dyDescent="0.25">
      <c r="A555" s="5" t="s">
        <v>568</v>
      </c>
      <c r="B555" s="10">
        <v>45450</v>
      </c>
      <c r="C555" s="5" t="s">
        <v>1014</v>
      </c>
      <c r="D555" s="11" t="s">
        <v>1572</v>
      </c>
      <c r="E555" s="5" t="s">
        <v>2606</v>
      </c>
      <c r="F555" s="5">
        <v>46</v>
      </c>
      <c r="G555" s="5" t="str" cm="1">
        <f t="array" ref="G555">_xlfn.IFS(F555&lt;12,"Child",F555&lt;18,"Teen",F555&lt;25,"Young",F555&lt;40,"Adult",F555&lt;60,"Middle Age",F555&gt;=60,"Old")</f>
        <v>Middle Age</v>
      </c>
      <c r="H555" s="5" t="s">
        <v>2044</v>
      </c>
      <c r="I555" s="5" t="s">
        <v>2048</v>
      </c>
      <c r="J555" s="5" t="s">
        <v>2025</v>
      </c>
      <c r="K555" s="5" t="str">
        <f>VLOOKUP(J555,Sheet2!$A$1:$B$11,2,FALSE)</f>
        <v>Formal Wear</v>
      </c>
      <c r="L555" s="5">
        <v>2</v>
      </c>
      <c r="M555" s="6">
        <v>513</v>
      </c>
      <c r="N555" s="6">
        <v>1026</v>
      </c>
      <c r="O555" s="7">
        <v>0.05</v>
      </c>
      <c r="P555" s="8">
        <f t="shared" si="16"/>
        <v>51.300000000000004</v>
      </c>
      <c r="Q555" s="9">
        <f t="shared" si="17"/>
        <v>974.7</v>
      </c>
      <c r="R555" s="5">
        <v>19</v>
      </c>
      <c r="S555" s="5" t="s">
        <v>2034</v>
      </c>
      <c r="T555" s="5" t="s">
        <v>2037</v>
      </c>
    </row>
    <row r="556" spans="1:20" x14ac:dyDescent="0.25">
      <c r="A556" s="5" t="s">
        <v>569</v>
      </c>
      <c r="B556" s="10">
        <v>45502</v>
      </c>
      <c r="C556" s="5" t="s">
        <v>1016</v>
      </c>
      <c r="D556" s="11" t="s">
        <v>1573</v>
      </c>
      <c r="E556" s="5" t="s">
        <v>2607</v>
      </c>
      <c r="F556" s="5">
        <v>19</v>
      </c>
      <c r="G556" s="5" t="str" cm="1">
        <f t="array" ref="G556">_xlfn.IFS(F556&lt;12,"Child",F556&lt;18,"Teen",F556&lt;25,"Young",F556&lt;40,"Adult",F556&lt;60,"Middle Age",F556&gt;=60,"Old")</f>
        <v>Young</v>
      </c>
      <c r="H556" s="5" t="s">
        <v>2044</v>
      </c>
      <c r="I556" s="5" t="s">
        <v>2046</v>
      </c>
      <c r="J556" s="5" t="s">
        <v>2023</v>
      </c>
      <c r="K556" s="5" t="str">
        <f>VLOOKUP(J556,Sheet2!$A$1:$B$11,2,FALSE)</f>
        <v>Formal Wear</v>
      </c>
      <c r="L556" s="5">
        <v>5</v>
      </c>
      <c r="M556" s="6">
        <v>328</v>
      </c>
      <c r="N556" s="6">
        <v>1640</v>
      </c>
      <c r="O556" s="7">
        <v>0</v>
      </c>
      <c r="P556" s="8">
        <f t="shared" si="16"/>
        <v>0</v>
      </c>
      <c r="Q556" s="9">
        <f t="shared" si="17"/>
        <v>1640</v>
      </c>
      <c r="R556" s="5">
        <v>32</v>
      </c>
      <c r="S556" s="5" t="s">
        <v>2034</v>
      </c>
      <c r="T556" s="5" t="s">
        <v>2036</v>
      </c>
    </row>
    <row r="557" spans="1:20" x14ac:dyDescent="0.25">
      <c r="A557" s="5" t="s">
        <v>570</v>
      </c>
      <c r="B557" s="10">
        <v>45594</v>
      </c>
      <c r="C557" s="5" t="s">
        <v>1019</v>
      </c>
      <c r="D557" s="11" t="s">
        <v>1574</v>
      </c>
      <c r="E557" s="5" t="s">
        <v>2608</v>
      </c>
      <c r="F557" s="5">
        <v>43</v>
      </c>
      <c r="G557" s="5" t="str" cm="1">
        <f t="array" ref="G557">_xlfn.IFS(F557&lt;12,"Child",F557&lt;18,"Teen",F557&lt;25,"Young",F557&lt;40,"Adult",F557&lt;60,"Middle Age",F557&gt;=60,"Old")</f>
        <v>Middle Age</v>
      </c>
      <c r="H557" s="5" t="s">
        <v>2044</v>
      </c>
      <c r="I557" s="5" t="s">
        <v>2053</v>
      </c>
      <c r="J557" s="5" t="s">
        <v>2021</v>
      </c>
      <c r="K557" s="5" t="str">
        <f>VLOOKUP(J557,Sheet2!$A$1:$B$11,2,FALSE)</f>
        <v>Casual Wear</v>
      </c>
      <c r="L557" s="5">
        <v>1</v>
      </c>
      <c r="M557" s="6">
        <v>1190</v>
      </c>
      <c r="N557" s="6">
        <v>1190</v>
      </c>
      <c r="O557" s="7">
        <v>0.15</v>
      </c>
      <c r="P557" s="8">
        <f t="shared" si="16"/>
        <v>178.5</v>
      </c>
      <c r="Q557" s="9">
        <f t="shared" si="17"/>
        <v>1011.5</v>
      </c>
      <c r="R557" s="5">
        <v>20</v>
      </c>
      <c r="S557" s="5" t="s">
        <v>2033</v>
      </c>
      <c r="T557" s="5" t="s">
        <v>2036</v>
      </c>
    </row>
    <row r="558" spans="1:20" x14ac:dyDescent="0.25">
      <c r="A558" s="5" t="s">
        <v>571</v>
      </c>
      <c r="B558" s="10">
        <v>45651</v>
      </c>
      <c r="C558" s="5" t="s">
        <v>1017</v>
      </c>
      <c r="D558" s="11" t="s">
        <v>1575</v>
      </c>
      <c r="E558" s="5" t="s">
        <v>2609</v>
      </c>
      <c r="F558" s="5">
        <v>38</v>
      </c>
      <c r="G558" s="5" t="str" cm="1">
        <f t="array" ref="G558">_xlfn.IFS(F558&lt;12,"Child",F558&lt;18,"Teen",F558&lt;25,"Young",F558&lt;40,"Adult",F558&lt;60,"Middle Age",F558&gt;=60,"Old")</f>
        <v>Adult</v>
      </c>
      <c r="H558" s="5" t="s">
        <v>2043</v>
      </c>
      <c r="I558" s="5" t="s">
        <v>2046</v>
      </c>
      <c r="J558" s="5" t="s">
        <v>2022</v>
      </c>
      <c r="K558" s="5" t="str">
        <f>VLOOKUP(J558,Sheet2!$A$1:$B$11,2,FALSE)</f>
        <v>Sportswear</v>
      </c>
      <c r="L558" s="5">
        <v>2</v>
      </c>
      <c r="M558" s="6">
        <v>415</v>
      </c>
      <c r="N558" s="6">
        <v>830</v>
      </c>
      <c r="O558" s="7">
        <v>0.05</v>
      </c>
      <c r="P558" s="8">
        <f t="shared" si="16"/>
        <v>41.5</v>
      </c>
      <c r="Q558" s="9">
        <f t="shared" si="17"/>
        <v>788.5</v>
      </c>
      <c r="R558" s="5">
        <v>15</v>
      </c>
      <c r="S558" s="5" t="s">
        <v>2034</v>
      </c>
      <c r="T558" s="5" t="s">
        <v>2037</v>
      </c>
    </row>
    <row r="559" spans="1:20" x14ac:dyDescent="0.25">
      <c r="A559" s="5" t="s">
        <v>572</v>
      </c>
      <c r="B559" s="10">
        <v>45415</v>
      </c>
      <c r="C559" s="5" t="s">
        <v>1014</v>
      </c>
      <c r="D559" s="11" t="s">
        <v>1576</v>
      </c>
      <c r="E559" s="5" t="s">
        <v>2610</v>
      </c>
      <c r="F559" s="5">
        <v>31</v>
      </c>
      <c r="G559" s="5" t="str" cm="1">
        <f t="array" ref="G559">_xlfn.IFS(F559&lt;12,"Child",F559&lt;18,"Teen",F559&lt;25,"Young",F559&lt;40,"Adult",F559&lt;60,"Middle Age",F559&gt;=60,"Old")</f>
        <v>Adult</v>
      </c>
      <c r="H559" s="5" t="s">
        <v>2044</v>
      </c>
      <c r="I559" s="5" t="s">
        <v>2050</v>
      </c>
      <c r="J559" s="5" t="s">
        <v>2021</v>
      </c>
      <c r="K559" s="5" t="str">
        <f>VLOOKUP(J559,Sheet2!$A$1:$B$11,2,FALSE)</f>
        <v>Casual Wear</v>
      </c>
      <c r="L559" s="5">
        <v>3</v>
      </c>
      <c r="M559" s="6">
        <v>437</v>
      </c>
      <c r="N559" s="6">
        <v>1311</v>
      </c>
      <c r="O559" s="7">
        <v>0.15</v>
      </c>
      <c r="P559" s="8">
        <f t="shared" si="16"/>
        <v>196.65</v>
      </c>
      <c r="Q559" s="9">
        <f t="shared" si="17"/>
        <v>1114.3499999999999</v>
      </c>
      <c r="R559" s="5">
        <v>22</v>
      </c>
      <c r="S559" s="5" t="s">
        <v>2034</v>
      </c>
      <c r="T559" s="5" t="s">
        <v>2036</v>
      </c>
    </row>
    <row r="560" spans="1:20" x14ac:dyDescent="0.25">
      <c r="A560" s="5" t="s">
        <v>573</v>
      </c>
      <c r="B560" s="10">
        <v>45549</v>
      </c>
      <c r="C560" s="5" t="s">
        <v>1020</v>
      </c>
      <c r="D560" s="11" t="s">
        <v>1577</v>
      </c>
      <c r="E560" s="5" t="s">
        <v>2611</v>
      </c>
      <c r="F560" s="5">
        <v>18</v>
      </c>
      <c r="G560" s="5" t="str" cm="1">
        <f t="array" ref="G560">_xlfn.IFS(F560&lt;12,"Child",F560&lt;18,"Teen",F560&lt;25,"Young",F560&lt;40,"Adult",F560&lt;60,"Middle Age",F560&gt;=60,"Old")</f>
        <v>Young</v>
      </c>
      <c r="H560" s="5" t="s">
        <v>2043</v>
      </c>
      <c r="I560" s="5" t="s">
        <v>2048</v>
      </c>
      <c r="J560" s="5" t="s">
        <v>2024</v>
      </c>
      <c r="K560" s="5" t="str">
        <f>VLOOKUP(J560,Sheet2!$A$1:$B$11,2,FALSE)</f>
        <v>Fashion Accessories</v>
      </c>
      <c r="L560" s="5">
        <v>2</v>
      </c>
      <c r="M560" s="6">
        <v>1184</v>
      </c>
      <c r="N560" s="6">
        <v>2368</v>
      </c>
      <c r="O560" s="7">
        <v>0.1</v>
      </c>
      <c r="P560" s="8">
        <f t="shared" si="16"/>
        <v>236.8</v>
      </c>
      <c r="Q560" s="9">
        <f t="shared" si="17"/>
        <v>2131.1999999999998</v>
      </c>
      <c r="R560" s="5">
        <v>42</v>
      </c>
      <c r="S560" s="5" t="s">
        <v>2034</v>
      </c>
      <c r="T560" s="5" t="s">
        <v>2037</v>
      </c>
    </row>
    <row r="561" spans="1:20" x14ac:dyDescent="0.25">
      <c r="A561" s="5" t="s">
        <v>574</v>
      </c>
      <c r="B561" s="10">
        <v>45532</v>
      </c>
      <c r="C561" s="5" t="s">
        <v>1017</v>
      </c>
      <c r="D561" s="11" t="s">
        <v>1578</v>
      </c>
      <c r="E561" s="5" t="s">
        <v>2259</v>
      </c>
      <c r="F561" s="5">
        <v>41</v>
      </c>
      <c r="G561" s="5" t="str" cm="1">
        <f t="array" ref="G561">_xlfn.IFS(F561&lt;12,"Child",F561&lt;18,"Teen",F561&lt;25,"Young",F561&lt;40,"Adult",F561&lt;60,"Middle Age",F561&gt;=60,"Old")</f>
        <v>Middle Age</v>
      </c>
      <c r="H561" s="5" t="s">
        <v>2044</v>
      </c>
      <c r="I561" s="5" t="s">
        <v>2048</v>
      </c>
      <c r="J561" s="5" t="s">
        <v>2019</v>
      </c>
      <c r="K561" s="5" t="str">
        <f>VLOOKUP(J561,Sheet2!$A$1:$B$11,2,FALSE)</f>
        <v>Formal Wear</v>
      </c>
      <c r="L561" s="5">
        <v>5</v>
      </c>
      <c r="M561" s="6">
        <v>688</v>
      </c>
      <c r="N561" s="6">
        <v>3440</v>
      </c>
      <c r="O561" s="7">
        <v>0.15</v>
      </c>
      <c r="P561" s="8">
        <f t="shared" si="16"/>
        <v>516</v>
      </c>
      <c r="Q561" s="9">
        <f t="shared" si="17"/>
        <v>2924</v>
      </c>
      <c r="R561" s="5">
        <v>58</v>
      </c>
      <c r="S561" s="5" t="s">
        <v>2033</v>
      </c>
      <c r="T561" s="5" t="s">
        <v>2036</v>
      </c>
    </row>
    <row r="562" spans="1:20" x14ac:dyDescent="0.25">
      <c r="A562" s="5" t="s">
        <v>575</v>
      </c>
      <c r="B562" s="10">
        <v>45513</v>
      </c>
      <c r="C562" s="5" t="s">
        <v>1014</v>
      </c>
      <c r="D562" s="11" t="s">
        <v>1579</v>
      </c>
      <c r="E562" s="5" t="s">
        <v>2612</v>
      </c>
      <c r="F562" s="5">
        <v>40</v>
      </c>
      <c r="G562" s="5" t="str" cm="1">
        <f t="array" ref="G562">_xlfn.IFS(F562&lt;12,"Child",F562&lt;18,"Teen",F562&lt;25,"Young",F562&lt;40,"Adult",F562&lt;60,"Middle Age",F562&gt;=60,"Old")</f>
        <v>Middle Age</v>
      </c>
      <c r="H562" s="5" t="s">
        <v>2043</v>
      </c>
      <c r="I562" s="5" t="s">
        <v>2051</v>
      </c>
      <c r="J562" s="5" t="s">
        <v>2021</v>
      </c>
      <c r="K562" s="5" t="str">
        <f>VLOOKUP(J562,Sheet2!$A$1:$B$11,2,FALSE)</f>
        <v>Casual Wear</v>
      </c>
      <c r="L562" s="5">
        <v>1</v>
      </c>
      <c r="M562" s="6">
        <v>272</v>
      </c>
      <c r="N562" s="6">
        <v>272</v>
      </c>
      <c r="O562" s="7">
        <v>0.15</v>
      </c>
      <c r="P562" s="8">
        <f t="shared" si="16"/>
        <v>40.799999999999997</v>
      </c>
      <c r="Q562" s="9">
        <f t="shared" si="17"/>
        <v>231.2</v>
      </c>
      <c r="R562" s="5">
        <v>4</v>
      </c>
      <c r="S562" s="5" t="s">
        <v>2032</v>
      </c>
      <c r="T562" s="5" t="s">
        <v>2036</v>
      </c>
    </row>
    <row r="563" spans="1:20" x14ac:dyDescent="0.25">
      <c r="A563" s="5" t="s">
        <v>576</v>
      </c>
      <c r="B563" s="10">
        <v>45615</v>
      </c>
      <c r="C563" s="5" t="s">
        <v>1019</v>
      </c>
      <c r="D563" s="11" t="s">
        <v>1580</v>
      </c>
      <c r="E563" s="5" t="s">
        <v>2613</v>
      </c>
      <c r="F563" s="5">
        <v>29</v>
      </c>
      <c r="G563" s="5" t="str" cm="1">
        <f t="array" ref="G563">_xlfn.IFS(F563&lt;12,"Child",F563&lt;18,"Teen",F563&lt;25,"Young",F563&lt;40,"Adult",F563&lt;60,"Middle Age",F563&gt;=60,"Old")</f>
        <v>Adult</v>
      </c>
      <c r="H563" s="5" t="s">
        <v>2044</v>
      </c>
      <c r="I563" s="5" t="s">
        <v>2045</v>
      </c>
      <c r="J563" s="5" t="s">
        <v>2019</v>
      </c>
      <c r="K563" s="5" t="str">
        <f>VLOOKUP(J563,Sheet2!$A$1:$B$11,2,FALSE)</f>
        <v>Formal Wear</v>
      </c>
      <c r="L563" s="5">
        <v>1</v>
      </c>
      <c r="M563" s="6">
        <v>899</v>
      </c>
      <c r="N563" s="6">
        <v>899</v>
      </c>
      <c r="O563" s="7">
        <v>0</v>
      </c>
      <c r="P563" s="8">
        <f t="shared" si="16"/>
        <v>0</v>
      </c>
      <c r="Q563" s="9">
        <f t="shared" si="17"/>
        <v>899</v>
      </c>
      <c r="R563" s="5">
        <v>17</v>
      </c>
      <c r="S563" s="5" t="s">
        <v>2033</v>
      </c>
      <c r="T563" s="5" t="s">
        <v>2035</v>
      </c>
    </row>
    <row r="564" spans="1:20" x14ac:dyDescent="0.25">
      <c r="A564" s="5" t="s">
        <v>577</v>
      </c>
      <c r="B564" s="10">
        <v>45517</v>
      </c>
      <c r="C564" s="5" t="s">
        <v>1019</v>
      </c>
      <c r="D564" s="11" t="s">
        <v>1581</v>
      </c>
      <c r="E564" s="5" t="s">
        <v>2614</v>
      </c>
      <c r="F564" s="5">
        <v>27</v>
      </c>
      <c r="G564" s="5" t="str" cm="1">
        <f t="array" ref="G564">_xlfn.IFS(F564&lt;12,"Child",F564&lt;18,"Teen",F564&lt;25,"Young",F564&lt;40,"Adult",F564&lt;60,"Middle Age",F564&gt;=60,"Old")</f>
        <v>Adult</v>
      </c>
      <c r="H564" s="5" t="s">
        <v>2044</v>
      </c>
      <c r="I564" s="5" t="s">
        <v>2047</v>
      </c>
      <c r="J564" s="5" t="s">
        <v>2017</v>
      </c>
      <c r="K564" s="5" t="str">
        <f>VLOOKUP(J564,Sheet2!$A$1:$B$11,2,FALSE)</f>
        <v>Casual Wear</v>
      </c>
      <c r="L564" s="5">
        <v>3</v>
      </c>
      <c r="M564" s="6">
        <v>602</v>
      </c>
      <c r="N564" s="6">
        <v>1806</v>
      </c>
      <c r="O564" s="7">
        <v>0</v>
      </c>
      <c r="P564" s="8">
        <f t="shared" si="16"/>
        <v>0</v>
      </c>
      <c r="Q564" s="9">
        <f t="shared" si="17"/>
        <v>1806</v>
      </c>
      <c r="R564" s="5">
        <v>36</v>
      </c>
      <c r="S564" s="5" t="s">
        <v>2032</v>
      </c>
      <c r="T564" s="5" t="s">
        <v>2037</v>
      </c>
    </row>
    <row r="565" spans="1:20" x14ac:dyDescent="0.25">
      <c r="A565" s="5" t="s">
        <v>578</v>
      </c>
      <c r="B565" s="10">
        <v>45441</v>
      </c>
      <c r="C565" s="5" t="s">
        <v>1017</v>
      </c>
      <c r="D565" s="11" t="s">
        <v>1582</v>
      </c>
      <c r="E565" s="5" t="s">
        <v>2615</v>
      </c>
      <c r="F565" s="5">
        <v>19</v>
      </c>
      <c r="G565" s="5" t="str" cm="1">
        <f t="array" ref="G565">_xlfn.IFS(F565&lt;12,"Child",F565&lt;18,"Teen",F565&lt;25,"Young",F565&lt;40,"Adult",F565&lt;60,"Middle Age",F565&gt;=60,"Old")</f>
        <v>Young</v>
      </c>
      <c r="H565" s="5" t="s">
        <v>2044</v>
      </c>
      <c r="I565" s="5" t="s">
        <v>2015</v>
      </c>
      <c r="J565" s="5" t="s">
        <v>2023</v>
      </c>
      <c r="K565" s="5" t="str">
        <f>VLOOKUP(J565,Sheet2!$A$1:$B$11,2,FALSE)</f>
        <v>Formal Wear</v>
      </c>
      <c r="L565" s="5">
        <v>4</v>
      </c>
      <c r="M565" s="6">
        <v>686</v>
      </c>
      <c r="N565" s="6">
        <v>2744</v>
      </c>
      <c r="O565" s="7">
        <v>0</v>
      </c>
      <c r="P565" s="8">
        <f t="shared" si="16"/>
        <v>0</v>
      </c>
      <c r="Q565" s="9">
        <f t="shared" si="17"/>
        <v>2744</v>
      </c>
      <c r="R565" s="5">
        <v>54</v>
      </c>
      <c r="S565" s="5" t="s">
        <v>2033</v>
      </c>
      <c r="T565" s="5" t="s">
        <v>2036</v>
      </c>
    </row>
    <row r="566" spans="1:20" x14ac:dyDescent="0.25">
      <c r="A566" s="5" t="s">
        <v>579</v>
      </c>
      <c r="B566" s="10">
        <v>45438</v>
      </c>
      <c r="C566" s="5" t="s">
        <v>1015</v>
      </c>
      <c r="D566" s="11" t="s">
        <v>1583</v>
      </c>
      <c r="E566" s="5" t="s">
        <v>2616</v>
      </c>
      <c r="F566" s="5">
        <v>58</v>
      </c>
      <c r="G566" s="5" t="str" cm="1">
        <f t="array" ref="G566">_xlfn.IFS(F566&lt;12,"Child",F566&lt;18,"Teen",F566&lt;25,"Young",F566&lt;40,"Adult",F566&lt;60,"Middle Age",F566&gt;=60,"Old")</f>
        <v>Middle Age</v>
      </c>
      <c r="H566" s="5" t="s">
        <v>2043</v>
      </c>
      <c r="I566" s="5" t="s">
        <v>2051</v>
      </c>
      <c r="J566" s="5" t="s">
        <v>2018</v>
      </c>
      <c r="K566" s="5" t="str">
        <f>VLOOKUP(J566,Sheet2!$A$1:$B$11,2,FALSE)</f>
        <v>Sportswear</v>
      </c>
      <c r="L566" s="5">
        <v>1</v>
      </c>
      <c r="M566" s="6">
        <v>269</v>
      </c>
      <c r="N566" s="6">
        <v>269</v>
      </c>
      <c r="O566" s="7">
        <v>0.2</v>
      </c>
      <c r="P566" s="8">
        <f t="shared" si="16"/>
        <v>53.800000000000004</v>
      </c>
      <c r="Q566" s="9">
        <f t="shared" si="17"/>
        <v>215.2</v>
      </c>
      <c r="R566" s="5">
        <v>4</v>
      </c>
      <c r="S566" s="5" t="s">
        <v>2034</v>
      </c>
      <c r="T566" s="5" t="s">
        <v>2036</v>
      </c>
    </row>
    <row r="567" spans="1:20" x14ac:dyDescent="0.25">
      <c r="A567" s="5" t="s">
        <v>580</v>
      </c>
      <c r="B567" s="10">
        <v>45533</v>
      </c>
      <c r="C567" s="5" t="s">
        <v>1018</v>
      </c>
      <c r="D567" s="11" t="s">
        <v>1584</v>
      </c>
      <c r="E567" s="5" t="s">
        <v>2617</v>
      </c>
      <c r="F567" s="5">
        <v>22</v>
      </c>
      <c r="G567" s="5" t="str" cm="1">
        <f t="array" ref="G567">_xlfn.IFS(F567&lt;12,"Child",F567&lt;18,"Teen",F567&lt;25,"Young",F567&lt;40,"Adult",F567&lt;60,"Middle Age",F567&gt;=60,"Old")</f>
        <v>Young</v>
      </c>
      <c r="H567" s="5" t="s">
        <v>2044</v>
      </c>
      <c r="I567" s="5" t="s">
        <v>2015</v>
      </c>
      <c r="J567" s="5" t="s">
        <v>2021</v>
      </c>
      <c r="K567" s="5" t="str">
        <f>VLOOKUP(J567,Sheet2!$A$1:$B$11,2,FALSE)</f>
        <v>Casual Wear</v>
      </c>
      <c r="L567" s="5">
        <v>3</v>
      </c>
      <c r="M567" s="6">
        <v>273</v>
      </c>
      <c r="N567" s="6">
        <v>819</v>
      </c>
      <c r="O567" s="7">
        <v>0</v>
      </c>
      <c r="P567" s="8">
        <f t="shared" si="16"/>
        <v>0</v>
      </c>
      <c r="Q567" s="9">
        <f t="shared" si="17"/>
        <v>819</v>
      </c>
      <c r="R567" s="5">
        <v>16</v>
      </c>
      <c r="S567" s="5" t="s">
        <v>2032</v>
      </c>
      <c r="T567" s="5" t="s">
        <v>2035</v>
      </c>
    </row>
    <row r="568" spans="1:20" x14ac:dyDescent="0.25">
      <c r="A568" s="5" t="s">
        <v>581</v>
      </c>
      <c r="B568" s="10">
        <v>45505</v>
      </c>
      <c r="C568" s="5" t="s">
        <v>1018</v>
      </c>
      <c r="D568" s="11" t="s">
        <v>1585</v>
      </c>
      <c r="E568" s="5" t="s">
        <v>2618</v>
      </c>
      <c r="F568" s="5">
        <v>28</v>
      </c>
      <c r="G568" s="5" t="str" cm="1">
        <f t="array" ref="G568">_xlfn.IFS(F568&lt;12,"Child",F568&lt;18,"Teen",F568&lt;25,"Young",F568&lt;40,"Adult",F568&lt;60,"Middle Age",F568&gt;=60,"Old")</f>
        <v>Adult</v>
      </c>
      <c r="H568" s="5" t="s">
        <v>2044</v>
      </c>
      <c r="I568" s="5" t="s">
        <v>2045</v>
      </c>
      <c r="J568" s="5" t="s">
        <v>2024</v>
      </c>
      <c r="K568" s="5" t="str">
        <f>VLOOKUP(J568,Sheet2!$A$1:$B$11,2,FALSE)</f>
        <v>Fashion Accessories</v>
      </c>
      <c r="L568" s="5">
        <v>4</v>
      </c>
      <c r="M568" s="6">
        <v>936</v>
      </c>
      <c r="N568" s="6">
        <v>3744</v>
      </c>
      <c r="O568" s="7">
        <v>0.05</v>
      </c>
      <c r="P568" s="8">
        <f t="shared" si="16"/>
        <v>187.20000000000002</v>
      </c>
      <c r="Q568" s="9">
        <f t="shared" si="17"/>
        <v>3556.8</v>
      </c>
      <c r="R568" s="5">
        <v>71</v>
      </c>
      <c r="S568" s="5" t="s">
        <v>2033</v>
      </c>
      <c r="T568" s="5" t="s">
        <v>2037</v>
      </c>
    </row>
    <row r="569" spans="1:20" x14ac:dyDescent="0.25">
      <c r="A569" s="5" t="s">
        <v>582</v>
      </c>
      <c r="B569" s="10">
        <v>45428</v>
      </c>
      <c r="C569" s="5" t="s">
        <v>1018</v>
      </c>
      <c r="D569" s="11" t="s">
        <v>1586</v>
      </c>
      <c r="E569" s="5" t="s">
        <v>2619</v>
      </c>
      <c r="F569" s="5">
        <v>19</v>
      </c>
      <c r="G569" s="5" t="str" cm="1">
        <f t="array" ref="G569">_xlfn.IFS(F569&lt;12,"Child",F569&lt;18,"Teen",F569&lt;25,"Young",F569&lt;40,"Adult",F569&lt;60,"Middle Age",F569&gt;=60,"Old")</f>
        <v>Young</v>
      </c>
      <c r="H569" s="5" t="s">
        <v>2044</v>
      </c>
      <c r="I569" s="5" t="s">
        <v>2047</v>
      </c>
      <c r="J569" s="5" t="s">
        <v>2022</v>
      </c>
      <c r="K569" s="5" t="str">
        <f>VLOOKUP(J569,Sheet2!$A$1:$B$11,2,FALSE)</f>
        <v>Sportswear</v>
      </c>
      <c r="L569" s="5">
        <v>2</v>
      </c>
      <c r="M569" s="6">
        <v>665</v>
      </c>
      <c r="N569" s="6">
        <v>1330</v>
      </c>
      <c r="O569" s="7">
        <v>0</v>
      </c>
      <c r="P569" s="8">
        <f t="shared" si="16"/>
        <v>0</v>
      </c>
      <c r="Q569" s="9">
        <f t="shared" si="17"/>
        <v>1330</v>
      </c>
      <c r="R569" s="5">
        <v>26</v>
      </c>
      <c r="S569" s="5" t="s">
        <v>2032</v>
      </c>
      <c r="T569" s="5" t="s">
        <v>2037</v>
      </c>
    </row>
    <row r="570" spans="1:20" x14ac:dyDescent="0.25">
      <c r="A570" s="5" t="s">
        <v>583</v>
      </c>
      <c r="B570" s="10">
        <v>45566</v>
      </c>
      <c r="C570" s="5" t="s">
        <v>1019</v>
      </c>
      <c r="D570" s="11" t="s">
        <v>1587</v>
      </c>
      <c r="E570" s="5" t="s">
        <v>2620</v>
      </c>
      <c r="F570" s="5">
        <v>43</v>
      </c>
      <c r="G570" s="5" t="str" cm="1">
        <f t="array" ref="G570">_xlfn.IFS(F570&lt;12,"Child",F570&lt;18,"Teen",F570&lt;25,"Young",F570&lt;40,"Adult",F570&lt;60,"Middle Age",F570&gt;=60,"Old")</f>
        <v>Middle Age</v>
      </c>
      <c r="H570" s="5" t="s">
        <v>2043</v>
      </c>
      <c r="I570" s="5" t="s">
        <v>2053</v>
      </c>
      <c r="J570" s="5" t="s">
        <v>2020</v>
      </c>
      <c r="K570" s="5" t="str">
        <f>VLOOKUP(J570,Sheet2!$A$1:$B$11,2,FALSE)</f>
        <v>Summer Wear</v>
      </c>
      <c r="L570" s="5">
        <v>2</v>
      </c>
      <c r="M570" s="6">
        <v>965</v>
      </c>
      <c r="N570" s="6">
        <v>1930</v>
      </c>
      <c r="O570" s="7">
        <v>0.05</v>
      </c>
      <c r="P570" s="8">
        <f t="shared" si="16"/>
        <v>96.5</v>
      </c>
      <c r="Q570" s="9">
        <f t="shared" si="17"/>
        <v>1833.5</v>
      </c>
      <c r="R570" s="5">
        <v>36</v>
      </c>
      <c r="S570" s="5" t="s">
        <v>2033</v>
      </c>
      <c r="T570" s="5" t="s">
        <v>2037</v>
      </c>
    </row>
    <row r="571" spans="1:20" x14ac:dyDescent="0.25">
      <c r="A571" s="5" t="s">
        <v>584</v>
      </c>
      <c r="B571" s="10">
        <v>45581</v>
      </c>
      <c r="C571" s="5" t="s">
        <v>1017</v>
      </c>
      <c r="D571" s="11" t="s">
        <v>1588</v>
      </c>
      <c r="E571" s="5" t="s">
        <v>2621</v>
      </c>
      <c r="F571" s="5">
        <v>23</v>
      </c>
      <c r="G571" s="5" t="str" cm="1">
        <f t="array" ref="G571">_xlfn.IFS(F571&lt;12,"Child",F571&lt;18,"Teen",F571&lt;25,"Young",F571&lt;40,"Adult",F571&lt;60,"Middle Age",F571&gt;=60,"Old")</f>
        <v>Young</v>
      </c>
      <c r="H571" s="5" t="s">
        <v>2044</v>
      </c>
      <c r="I571" s="5" t="s">
        <v>2049</v>
      </c>
      <c r="J571" s="5" t="s">
        <v>2021</v>
      </c>
      <c r="K571" s="5" t="str">
        <f>VLOOKUP(J571,Sheet2!$A$1:$B$11,2,FALSE)</f>
        <v>Casual Wear</v>
      </c>
      <c r="L571" s="5">
        <v>3</v>
      </c>
      <c r="M571" s="6">
        <v>749</v>
      </c>
      <c r="N571" s="6">
        <v>2247</v>
      </c>
      <c r="O571" s="7">
        <v>0.1</v>
      </c>
      <c r="P571" s="8">
        <f t="shared" si="16"/>
        <v>224.70000000000002</v>
      </c>
      <c r="Q571" s="9">
        <f t="shared" si="17"/>
        <v>2022.3</v>
      </c>
      <c r="R571" s="5">
        <v>40</v>
      </c>
      <c r="S571" s="5" t="s">
        <v>2032</v>
      </c>
      <c r="T571" s="5" t="s">
        <v>2037</v>
      </c>
    </row>
    <row r="572" spans="1:20" x14ac:dyDescent="0.25">
      <c r="A572" s="5" t="s">
        <v>585</v>
      </c>
      <c r="B572" s="10">
        <v>45522</v>
      </c>
      <c r="C572" s="5" t="s">
        <v>1015</v>
      </c>
      <c r="D572" s="11" t="s">
        <v>1589</v>
      </c>
      <c r="E572" s="5" t="s">
        <v>2622</v>
      </c>
      <c r="F572" s="5">
        <v>33</v>
      </c>
      <c r="G572" s="5" t="str" cm="1">
        <f t="array" ref="G572">_xlfn.IFS(F572&lt;12,"Child",F572&lt;18,"Teen",F572&lt;25,"Young",F572&lt;40,"Adult",F572&lt;60,"Middle Age",F572&gt;=60,"Old")</f>
        <v>Adult</v>
      </c>
      <c r="H572" s="5" t="s">
        <v>2043</v>
      </c>
      <c r="I572" s="5" t="s">
        <v>2048</v>
      </c>
      <c r="J572" s="5" t="s">
        <v>2022</v>
      </c>
      <c r="K572" s="5" t="str">
        <f>VLOOKUP(J572,Sheet2!$A$1:$B$11,2,FALSE)</f>
        <v>Sportswear</v>
      </c>
      <c r="L572" s="5">
        <v>4</v>
      </c>
      <c r="M572" s="6">
        <v>1015</v>
      </c>
      <c r="N572" s="6">
        <v>4060</v>
      </c>
      <c r="O572" s="7">
        <v>0.1</v>
      </c>
      <c r="P572" s="8">
        <f t="shared" si="16"/>
        <v>406</v>
      </c>
      <c r="Q572" s="9">
        <f t="shared" si="17"/>
        <v>3654</v>
      </c>
      <c r="R572" s="5">
        <v>73</v>
      </c>
      <c r="S572" s="5" t="s">
        <v>2032</v>
      </c>
      <c r="T572" s="5" t="s">
        <v>2037</v>
      </c>
    </row>
    <row r="573" spans="1:20" x14ac:dyDescent="0.25">
      <c r="A573" s="5" t="s">
        <v>586</v>
      </c>
      <c r="B573" s="10">
        <v>45517</v>
      </c>
      <c r="C573" s="5" t="s">
        <v>1019</v>
      </c>
      <c r="D573" s="11" t="s">
        <v>1590</v>
      </c>
      <c r="E573" s="5" t="s">
        <v>2623</v>
      </c>
      <c r="F573" s="5">
        <v>18</v>
      </c>
      <c r="G573" s="5" t="str" cm="1">
        <f t="array" ref="G573">_xlfn.IFS(F573&lt;12,"Child",F573&lt;18,"Teen",F573&lt;25,"Young",F573&lt;40,"Adult",F573&lt;60,"Middle Age",F573&gt;=60,"Old")</f>
        <v>Young</v>
      </c>
      <c r="H573" s="5" t="s">
        <v>2043</v>
      </c>
      <c r="I573" s="5" t="s">
        <v>2047</v>
      </c>
      <c r="J573" s="5" t="s">
        <v>2023</v>
      </c>
      <c r="K573" s="5" t="str">
        <f>VLOOKUP(J573,Sheet2!$A$1:$B$11,2,FALSE)</f>
        <v>Formal Wear</v>
      </c>
      <c r="L573" s="5">
        <v>4</v>
      </c>
      <c r="M573" s="6">
        <v>361</v>
      </c>
      <c r="N573" s="6">
        <v>1444</v>
      </c>
      <c r="O573" s="7">
        <v>0.05</v>
      </c>
      <c r="P573" s="8">
        <f t="shared" si="16"/>
        <v>72.2</v>
      </c>
      <c r="Q573" s="9">
        <f t="shared" si="17"/>
        <v>1371.8</v>
      </c>
      <c r="R573" s="5">
        <v>27</v>
      </c>
      <c r="S573" s="5" t="s">
        <v>2032</v>
      </c>
      <c r="T573" s="5" t="s">
        <v>2036</v>
      </c>
    </row>
    <row r="574" spans="1:20" x14ac:dyDescent="0.25">
      <c r="A574" s="5" t="s">
        <v>587</v>
      </c>
      <c r="B574" s="10">
        <v>45483</v>
      </c>
      <c r="C574" s="5" t="s">
        <v>1017</v>
      </c>
      <c r="D574" s="11" t="s">
        <v>1591</v>
      </c>
      <c r="E574" s="5" t="s">
        <v>2624</v>
      </c>
      <c r="F574" s="5">
        <v>28</v>
      </c>
      <c r="G574" s="5" t="str" cm="1">
        <f t="array" ref="G574">_xlfn.IFS(F574&lt;12,"Child",F574&lt;18,"Teen",F574&lt;25,"Young",F574&lt;40,"Adult",F574&lt;60,"Middle Age",F574&gt;=60,"Old")</f>
        <v>Adult</v>
      </c>
      <c r="H574" s="5" t="s">
        <v>2043</v>
      </c>
      <c r="I574" s="5" t="s">
        <v>2050</v>
      </c>
      <c r="J574" s="5" t="s">
        <v>2020</v>
      </c>
      <c r="K574" s="5" t="str">
        <f>VLOOKUP(J574,Sheet2!$A$1:$B$11,2,FALSE)</f>
        <v>Summer Wear</v>
      </c>
      <c r="L574" s="5">
        <v>3</v>
      </c>
      <c r="M574" s="6">
        <v>325</v>
      </c>
      <c r="N574" s="6">
        <v>975</v>
      </c>
      <c r="O574" s="7">
        <v>0.2</v>
      </c>
      <c r="P574" s="8">
        <f t="shared" si="16"/>
        <v>195</v>
      </c>
      <c r="Q574" s="9">
        <f t="shared" si="17"/>
        <v>780</v>
      </c>
      <c r="R574" s="5">
        <v>15</v>
      </c>
      <c r="S574" s="5" t="s">
        <v>2033</v>
      </c>
      <c r="T574" s="5" t="s">
        <v>2035</v>
      </c>
    </row>
    <row r="575" spans="1:20" x14ac:dyDescent="0.25">
      <c r="A575" s="5" t="s">
        <v>588</v>
      </c>
      <c r="B575" s="10">
        <v>45504</v>
      </c>
      <c r="C575" s="5" t="s">
        <v>1017</v>
      </c>
      <c r="D575" s="11" t="s">
        <v>1335</v>
      </c>
      <c r="E575" s="5" t="s">
        <v>2625</v>
      </c>
      <c r="F575" s="5">
        <v>26</v>
      </c>
      <c r="G575" s="5" t="str" cm="1">
        <f t="array" ref="G575">_xlfn.IFS(F575&lt;12,"Child",F575&lt;18,"Teen",F575&lt;25,"Young",F575&lt;40,"Adult",F575&lt;60,"Middle Age",F575&gt;=60,"Old")</f>
        <v>Adult</v>
      </c>
      <c r="H575" s="5" t="s">
        <v>2043</v>
      </c>
      <c r="I575" s="5" t="s">
        <v>2052</v>
      </c>
      <c r="J575" s="5" t="s">
        <v>2020</v>
      </c>
      <c r="K575" s="5" t="str">
        <f>VLOOKUP(J575,Sheet2!$A$1:$B$11,2,FALSE)</f>
        <v>Summer Wear</v>
      </c>
      <c r="L575" s="5">
        <v>2</v>
      </c>
      <c r="M575" s="6">
        <v>310</v>
      </c>
      <c r="N575" s="6">
        <v>620</v>
      </c>
      <c r="O575" s="7">
        <v>0</v>
      </c>
      <c r="P575" s="8">
        <f t="shared" si="16"/>
        <v>0</v>
      </c>
      <c r="Q575" s="9">
        <f t="shared" si="17"/>
        <v>620</v>
      </c>
      <c r="R575" s="5">
        <v>12</v>
      </c>
      <c r="S575" s="5" t="s">
        <v>2033</v>
      </c>
      <c r="T575" s="5" t="s">
        <v>2035</v>
      </c>
    </row>
    <row r="576" spans="1:20" x14ac:dyDescent="0.25">
      <c r="A576" s="5" t="s">
        <v>589</v>
      </c>
      <c r="B576" s="10">
        <v>45551</v>
      </c>
      <c r="C576" s="5" t="s">
        <v>1016</v>
      </c>
      <c r="D576" s="11" t="s">
        <v>1592</v>
      </c>
      <c r="E576" s="5" t="s">
        <v>2626</v>
      </c>
      <c r="F576" s="5">
        <v>29</v>
      </c>
      <c r="G576" s="5" t="str" cm="1">
        <f t="array" ref="G576">_xlfn.IFS(F576&lt;12,"Child",F576&lt;18,"Teen",F576&lt;25,"Young",F576&lt;40,"Adult",F576&lt;60,"Middle Age",F576&gt;=60,"Old")</f>
        <v>Adult</v>
      </c>
      <c r="H576" s="5" t="s">
        <v>2043</v>
      </c>
      <c r="I576" s="5" t="s">
        <v>2053</v>
      </c>
      <c r="J576" s="5" t="s">
        <v>2017</v>
      </c>
      <c r="K576" s="5" t="str">
        <f>VLOOKUP(J576,Sheet2!$A$1:$B$11,2,FALSE)</f>
        <v>Casual Wear</v>
      </c>
      <c r="L576" s="5">
        <v>5</v>
      </c>
      <c r="M576" s="6">
        <v>1100</v>
      </c>
      <c r="N576" s="6">
        <v>5500</v>
      </c>
      <c r="O576" s="7">
        <v>0.05</v>
      </c>
      <c r="P576" s="8">
        <f t="shared" si="16"/>
        <v>275</v>
      </c>
      <c r="Q576" s="9">
        <f t="shared" si="17"/>
        <v>5225</v>
      </c>
      <c r="R576" s="5">
        <v>104</v>
      </c>
      <c r="S576" s="5" t="s">
        <v>2032</v>
      </c>
      <c r="T576" s="5" t="s">
        <v>2036</v>
      </c>
    </row>
    <row r="577" spans="1:20" x14ac:dyDescent="0.25">
      <c r="A577" s="5" t="s">
        <v>590</v>
      </c>
      <c r="B577" s="10">
        <v>45609</v>
      </c>
      <c r="C577" s="5" t="s">
        <v>1017</v>
      </c>
      <c r="D577" s="11" t="s">
        <v>1593</v>
      </c>
      <c r="E577" s="5" t="s">
        <v>2627</v>
      </c>
      <c r="F577" s="5">
        <v>32</v>
      </c>
      <c r="G577" s="5" t="str" cm="1">
        <f t="array" ref="G577">_xlfn.IFS(F577&lt;12,"Child",F577&lt;18,"Teen",F577&lt;25,"Young",F577&lt;40,"Adult",F577&lt;60,"Middle Age",F577&gt;=60,"Old")</f>
        <v>Adult</v>
      </c>
      <c r="H577" s="5" t="s">
        <v>2044</v>
      </c>
      <c r="I577" s="5" t="s">
        <v>2015</v>
      </c>
      <c r="J577" s="5" t="s">
        <v>2016</v>
      </c>
      <c r="K577" s="5" t="str">
        <f>VLOOKUP(J577,Sheet2!$A$1:$B$11,2,FALSE)</f>
        <v>Winter Wear</v>
      </c>
      <c r="L577" s="5">
        <v>1</v>
      </c>
      <c r="M577" s="6">
        <v>1113</v>
      </c>
      <c r="N577" s="6">
        <v>1113</v>
      </c>
      <c r="O577" s="7">
        <v>0.1</v>
      </c>
      <c r="P577" s="8">
        <f t="shared" si="16"/>
        <v>111.30000000000001</v>
      </c>
      <c r="Q577" s="9">
        <f t="shared" si="17"/>
        <v>1001.7</v>
      </c>
      <c r="R577" s="5">
        <v>20</v>
      </c>
      <c r="S577" s="5" t="s">
        <v>2033</v>
      </c>
      <c r="T577" s="5" t="s">
        <v>2035</v>
      </c>
    </row>
    <row r="578" spans="1:20" x14ac:dyDescent="0.25">
      <c r="A578" s="5" t="s">
        <v>591</v>
      </c>
      <c r="B578" s="10">
        <v>45390</v>
      </c>
      <c r="C578" s="5" t="s">
        <v>1016</v>
      </c>
      <c r="D578" s="11" t="s">
        <v>1594</v>
      </c>
      <c r="E578" s="5" t="s">
        <v>2628</v>
      </c>
      <c r="F578" s="5">
        <v>38</v>
      </c>
      <c r="G578" s="5" t="str" cm="1">
        <f t="array" ref="G578">_xlfn.IFS(F578&lt;12,"Child",F578&lt;18,"Teen",F578&lt;25,"Young",F578&lt;40,"Adult",F578&lt;60,"Middle Age",F578&gt;=60,"Old")</f>
        <v>Adult</v>
      </c>
      <c r="H578" s="5" t="s">
        <v>2044</v>
      </c>
      <c r="I578" s="5" t="s">
        <v>2049</v>
      </c>
      <c r="J578" s="5" t="s">
        <v>2021</v>
      </c>
      <c r="K578" s="5" t="str">
        <f>VLOOKUP(J578,Sheet2!$A$1:$B$11,2,FALSE)</f>
        <v>Casual Wear</v>
      </c>
      <c r="L578" s="5">
        <v>3</v>
      </c>
      <c r="M578" s="6">
        <v>922</v>
      </c>
      <c r="N578" s="6">
        <v>2766</v>
      </c>
      <c r="O578" s="7">
        <v>0.05</v>
      </c>
      <c r="P578" s="8">
        <f t="shared" si="16"/>
        <v>138.30000000000001</v>
      </c>
      <c r="Q578" s="9">
        <f t="shared" si="17"/>
        <v>2627.7</v>
      </c>
      <c r="R578" s="5">
        <v>52</v>
      </c>
      <c r="S578" s="5" t="s">
        <v>2034</v>
      </c>
      <c r="T578" s="5" t="s">
        <v>2035</v>
      </c>
    </row>
    <row r="579" spans="1:20" x14ac:dyDescent="0.25">
      <c r="A579" s="5" t="s">
        <v>592</v>
      </c>
      <c r="B579" s="10">
        <v>45381</v>
      </c>
      <c r="C579" s="5" t="s">
        <v>1020</v>
      </c>
      <c r="D579" s="11" t="s">
        <v>1595</v>
      </c>
      <c r="E579" s="5" t="s">
        <v>2629</v>
      </c>
      <c r="F579" s="5">
        <v>45</v>
      </c>
      <c r="G579" s="5" t="str" cm="1">
        <f t="array" ref="G579">_xlfn.IFS(F579&lt;12,"Child",F579&lt;18,"Teen",F579&lt;25,"Young",F579&lt;40,"Adult",F579&lt;60,"Middle Age",F579&gt;=60,"Old")</f>
        <v>Middle Age</v>
      </c>
      <c r="H579" s="5" t="s">
        <v>2044</v>
      </c>
      <c r="I579" s="5" t="s">
        <v>2048</v>
      </c>
      <c r="J579" s="5" t="s">
        <v>2020</v>
      </c>
      <c r="K579" s="5" t="str">
        <f>VLOOKUP(J579,Sheet2!$A$1:$B$11,2,FALSE)</f>
        <v>Summer Wear</v>
      </c>
      <c r="L579" s="5">
        <v>1</v>
      </c>
      <c r="M579" s="6">
        <v>597</v>
      </c>
      <c r="N579" s="6">
        <v>597</v>
      </c>
      <c r="O579" s="7">
        <v>0</v>
      </c>
      <c r="P579" s="8">
        <f t="shared" ref="P579:P642" si="18">N579*O579</f>
        <v>0</v>
      </c>
      <c r="Q579" s="9">
        <f t="shared" ref="Q579:Q642" si="19">N579-P579</f>
        <v>597</v>
      </c>
      <c r="R579" s="5">
        <v>11</v>
      </c>
      <c r="S579" s="5" t="s">
        <v>2034</v>
      </c>
      <c r="T579" s="5" t="s">
        <v>2035</v>
      </c>
    </row>
    <row r="580" spans="1:20" x14ac:dyDescent="0.25">
      <c r="A580" s="5" t="s">
        <v>593</v>
      </c>
      <c r="B580" s="10">
        <v>45513</v>
      </c>
      <c r="C580" s="5" t="s">
        <v>1014</v>
      </c>
      <c r="D580" s="11" t="s">
        <v>1596</v>
      </c>
      <c r="E580" s="5" t="s">
        <v>2630</v>
      </c>
      <c r="F580" s="5">
        <v>57</v>
      </c>
      <c r="G580" s="5" t="str" cm="1">
        <f t="array" ref="G580">_xlfn.IFS(F580&lt;12,"Child",F580&lt;18,"Teen",F580&lt;25,"Young",F580&lt;40,"Adult",F580&lt;60,"Middle Age",F580&gt;=60,"Old")</f>
        <v>Middle Age</v>
      </c>
      <c r="H580" s="5" t="s">
        <v>2043</v>
      </c>
      <c r="I580" s="5" t="s">
        <v>2015</v>
      </c>
      <c r="J580" s="5" t="s">
        <v>2018</v>
      </c>
      <c r="K580" s="5" t="str">
        <f>VLOOKUP(J580,Sheet2!$A$1:$B$11,2,FALSE)</f>
        <v>Sportswear</v>
      </c>
      <c r="L580" s="5">
        <v>4</v>
      </c>
      <c r="M580" s="6">
        <v>293</v>
      </c>
      <c r="N580" s="6">
        <v>1172</v>
      </c>
      <c r="O580" s="7">
        <v>0.05</v>
      </c>
      <c r="P580" s="8">
        <f t="shared" si="18"/>
        <v>58.6</v>
      </c>
      <c r="Q580" s="9">
        <f t="shared" si="19"/>
        <v>1113.4000000000001</v>
      </c>
      <c r="R580" s="5">
        <v>22</v>
      </c>
      <c r="S580" s="5" t="s">
        <v>2032</v>
      </c>
      <c r="T580" s="5" t="s">
        <v>2035</v>
      </c>
    </row>
    <row r="581" spans="1:20" x14ac:dyDescent="0.25">
      <c r="A581" s="5" t="s">
        <v>594</v>
      </c>
      <c r="B581" s="10">
        <v>45670</v>
      </c>
      <c r="C581" s="5" t="s">
        <v>1016</v>
      </c>
      <c r="D581" s="11" t="s">
        <v>1597</v>
      </c>
      <c r="E581" s="5" t="s">
        <v>2631</v>
      </c>
      <c r="F581" s="5">
        <v>49</v>
      </c>
      <c r="G581" s="5" t="str" cm="1">
        <f t="array" ref="G581">_xlfn.IFS(F581&lt;12,"Child",F581&lt;18,"Teen",F581&lt;25,"Young",F581&lt;40,"Adult",F581&lt;60,"Middle Age",F581&gt;=60,"Old")</f>
        <v>Middle Age</v>
      </c>
      <c r="H581" s="5" t="s">
        <v>2043</v>
      </c>
      <c r="I581" s="5" t="s">
        <v>2045</v>
      </c>
      <c r="J581" s="5" t="s">
        <v>2016</v>
      </c>
      <c r="K581" s="5" t="str">
        <f>VLOOKUP(J581,Sheet2!$A$1:$B$11,2,FALSE)</f>
        <v>Winter Wear</v>
      </c>
      <c r="L581" s="5">
        <v>1</v>
      </c>
      <c r="M581" s="6">
        <v>626</v>
      </c>
      <c r="N581" s="6">
        <v>626</v>
      </c>
      <c r="O581" s="7">
        <v>0.15</v>
      </c>
      <c r="P581" s="8">
        <f t="shared" si="18"/>
        <v>93.899999999999991</v>
      </c>
      <c r="Q581" s="9">
        <f t="shared" si="19"/>
        <v>532.1</v>
      </c>
      <c r="R581" s="5">
        <v>10</v>
      </c>
      <c r="S581" s="5" t="s">
        <v>2033</v>
      </c>
      <c r="T581" s="5" t="s">
        <v>2036</v>
      </c>
    </row>
    <row r="582" spans="1:20" x14ac:dyDescent="0.25">
      <c r="A582" s="5" t="s">
        <v>595</v>
      </c>
      <c r="B582" s="10">
        <v>45483</v>
      </c>
      <c r="C582" s="5" t="s">
        <v>1017</v>
      </c>
      <c r="D582" s="11" t="s">
        <v>1598</v>
      </c>
      <c r="E582" s="5" t="s">
        <v>2632</v>
      </c>
      <c r="F582" s="5">
        <v>44</v>
      </c>
      <c r="G582" s="5" t="str" cm="1">
        <f t="array" ref="G582">_xlfn.IFS(F582&lt;12,"Child",F582&lt;18,"Teen",F582&lt;25,"Young",F582&lt;40,"Adult",F582&lt;60,"Middle Age",F582&gt;=60,"Old")</f>
        <v>Middle Age</v>
      </c>
      <c r="H582" s="5" t="s">
        <v>2044</v>
      </c>
      <c r="I582" s="5" t="s">
        <v>2053</v>
      </c>
      <c r="J582" s="5" t="s">
        <v>2019</v>
      </c>
      <c r="K582" s="5" t="str">
        <f>VLOOKUP(J582,Sheet2!$A$1:$B$11,2,FALSE)</f>
        <v>Formal Wear</v>
      </c>
      <c r="L582" s="5">
        <v>3</v>
      </c>
      <c r="M582" s="6">
        <v>294</v>
      </c>
      <c r="N582" s="6">
        <v>882</v>
      </c>
      <c r="O582" s="7">
        <v>0.1</v>
      </c>
      <c r="P582" s="8">
        <f t="shared" si="18"/>
        <v>88.2</v>
      </c>
      <c r="Q582" s="9">
        <f t="shared" si="19"/>
        <v>793.8</v>
      </c>
      <c r="R582" s="5">
        <v>15</v>
      </c>
      <c r="S582" s="5" t="s">
        <v>2032</v>
      </c>
      <c r="T582" s="5" t="s">
        <v>2036</v>
      </c>
    </row>
    <row r="583" spans="1:20" x14ac:dyDescent="0.25">
      <c r="A583" s="5" t="s">
        <v>596</v>
      </c>
      <c r="B583" s="10">
        <v>45405</v>
      </c>
      <c r="C583" s="5" t="s">
        <v>1019</v>
      </c>
      <c r="D583" s="11" t="s">
        <v>1599</v>
      </c>
      <c r="E583" s="5" t="s">
        <v>2633</v>
      </c>
      <c r="F583" s="5">
        <v>39</v>
      </c>
      <c r="G583" s="5" t="str" cm="1">
        <f t="array" ref="G583">_xlfn.IFS(F583&lt;12,"Child",F583&lt;18,"Teen",F583&lt;25,"Young",F583&lt;40,"Adult",F583&lt;60,"Middle Age",F583&gt;=60,"Old")</f>
        <v>Adult</v>
      </c>
      <c r="H583" s="5" t="s">
        <v>2043</v>
      </c>
      <c r="I583" s="5" t="s">
        <v>2051</v>
      </c>
      <c r="J583" s="5" t="s">
        <v>2022</v>
      </c>
      <c r="K583" s="5" t="str">
        <f>VLOOKUP(J583,Sheet2!$A$1:$B$11,2,FALSE)</f>
        <v>Sportswear</v>
      </c>
      <c r="L583" s="5">
        <v>2</v>
      </c>
      <c r="M583" s="6">
        <v>1169</v>
      </c>
      <c r="N583" s="6">
        <v>2338</v>
      </c>
      <c r="O583" s="7">
        <v>0.15</v>
      </c>
      <c r="P583" s="8">
        <f t="shared" si="18"/>
        <v>350.7</v>
      </c>
      <c r="Q583" s="9">
        <f t="shared" si="19"/>
        <v>1987.3</v>
      </c>
      <c r="R583" s="5">
        <v>39</v>
      </c>
      <c r="S583" s="5" t="s">
        <v>2034</v>
      </c>
      <c r="T583" s="5" t="s">
        <v>2036</v>
      </c>
    </row>
    <row r="584" spans="1:20" x14ac:dyDescent="0.25">
      <c r="A584" s="5" t="s">
        <v>597</v>
      </c>
      <c r="B584" s="10">
        <v>45688</v>
      </c>
      <c r="C584" s="5" t="s">
        <v>1014</v>
      </c>
      <c r="D584" s="11" t="s">
        <v>1600</v>
      </c>
      <c r="E584" s="5" t="s">
        <v>2634</v>
      </c>
      <c r="F584" s="5">
        <v>39</v>
      </c>
      <c r="G584" s="5" t="str" cm="1">
        <f t="array" ref="G584">_xlfn.IFS(F584&lt;12,"Child",F584&lt;18,"Teen",F584&lt;25,"Young",F584&lt;40,"Adult",F584&lt;60,"Middle Age",F584&gt;=60,"Old")</f>
        <v>Adult</v>
      </c>
      <c r="H584" s="5" t="s">
        <v>2044</v>
      </c>
      <c r="I584" s="5" t="s">
        <v>2045</v>
      </c>
      <c r="J584" s="5" t="s">
        <v>2020</v>
      </c>
      <c r="K584" s="5" t="str">
        <f>VLOOKUP(J584,Sheet2!$A$1:$B$11,2,FALSE)</f>
        <v>Summer Wear</v>
      </c>
      <c r="L584" s="5">
        <v>1</v>
      </c>
      <c r="M584" s="6">
        <v>996</v>
      </c>
      <c r="N584" s="6">
        <v>996</v>
      </c>
      <c r="O584" s="7">
        <v>0.2</v>
      </c>
      <c r="P584" s="8">
        <f t="shared" si="18"/>
        <v>199.20000000000002</v>
      </c>
      <c r="Q584" s="9">
        <f t="shared" si="19"/>
        <v>796.8</v>
      </c>
      <c r="R584" s="5">
        <v>15</v>
      </c>
      <c r="S584" s="5" t="s">
        <v>2032</v>
      </c>
      <c r="T584" s="5" t="s">
        <v>2037</v>
      </c>
    </row>
    <row r="585" spans="1:20" x14ac:dyDescent="0.25">
      <c r="A585" s="5" t="s">
        <v>598</v>
      </c>
      <c r="B585" s="10">
        <v>45388</v>
      </c>
      <c r="C585" s="5" t="s">
        <v>1020</v>
      </c>
      <c r="D585" s="11" t="s">
        <v>1601</v>
      </c>
      <c r="E585" s="5" t="s">
        <v>2635</v>
      </c>
      <c r="F585" s="5">
        <v>36</v>
      </c>
      <c r="G585" s="5" t="str" cm="1">
        <f t="array" ref="G585">_xlfn.IFS(F585&lt;12,"Child",F585&lt;18,"Teen",F585&lt;25,"Young",F585&lt;40,"Adult",F585&lt;60,"Middle Age",F585&gt;=60,"Old")</f>
        <v>Adult</v>
      </c>
      <c r="H585" s="5" t="s">
        <v>2043</v>
      </c>
      <c r="I585" s="5" t="s">
        <v>2046</v>
      </c>
      <c r="J585" s="5" t="s">
        <v>2023</v>
      </c>
      <c r="K585" s="5" t="str">
        <f>VLOOKUP(J585,Sheet2!$A$1:$B$11,2,FALSE)</f>
        <v>Formal Wear</v>
      </c>
      <c r="L585" s="5">
        <v>1</v>
      </c>
      <c r="M585" s="6">
        <v>1148</v>
      </c>
      <c r="N585" s="6">
        <v>1148</v>
      </c>
      <c r="O585" s="7">
        <v>0.1</v>
      </c>
      <c r="P585" s="8">
        <f t="shared" si="18"/>
        <v>114.80000000000001</v>
      </c>
      <c r="Q585" s="9">
        <f t="shared" si="19"/>
        <v>1033.2</v>
      </c>
      <c r="R585" s="5">
        <v>20</v>
      </c>
      <c r="S585" s="5" t="s">
        <v>2033</v>
      </c>
      <c r="T585" s="5" t="s">
        <v>2035</v>
      </c>
    </row>
    <row r="586" spans="1:20" x14ac:dyDescent="0.25">
      <c r="A586" s="5" t="s">
        <v>599</v>
      </c>
      <c r="B586" s="10">
        <v>45609</v>
      </c>
      <c r="C586" s="5" t="s">
        <v>1017</v>
      </c>
      <c r="D586" s="11" t="s">
        <v>1602</v>
      </c>
      <c r="E586" s="5" t="s">
        <v>2636</v>
      </c>
      <c r="F586" s="5">
        <v>34</v>
      </c>
      <c r="G586" s="5" t="str" cm="1">
        <f t="array" ref="G586">_xlfn.IFS(F586&lt;12,"Child",F586&lt;18,"Teen",F586&lt;25,"Young",F586&lt;40,"Adult",F586&lt;60,"Middle Age",F586&gt;=60,"Old")</f>
        <v>Adult</v>
      </c>
      <c r="H586" s="5" t="s">
        <v>2044</v>
      </c>
      <c r="I586" s="5" t="s">
        <v>2052</v>
      </c>
      <c r="J586" s="5" t="s">
        <v>2017</v>
      </c>
      <c r="K586" s="5" t="str">
        <f>VLOOKUP(J586,Sheet2!$A$1:$B$11,2,FALSE)</f>
        <v>Casual Wear</v>
      </c>
      <c r="L586" s="5">
        <v>2</v>
      </c>
      <c r="M586" s="6">
        <v>769</v>
      </c>
      <c r="N586" s="6">
        <v>1538</v>
      </c>
      <c r="O586" s="7">
        <v>0.15</v>
      </c>
      <c r="P586" s="8">
        <f t="shared" si="18"/>
        <v>230.7</v>
      </c>
      <c r="Q586" s="9">
        <f t="shared" si="19"/>
        <v>1307.3</v>
      </c>
      <c r="R586" s="5">
        <v>26</v>
      </c>
      <c r="S586" s="5" t="s">
        <v>2034</v>
      </c>
      <c r="T586" s="5" t="s">
        <v>2037</v>
      </c>
    </row>
    <row r="587" spans="1:20" x14ac:dyDescent="0.25">
      <c r="A587" s="5" t="s">
        <v>600</v>
      </c>
      <c r="B587" s="10">
        <v>45713</v>
      </c>
      <c r="C587" s="5" t="s">
        <v>1019</v>
      </c>
      <c r="D587" s="11" t="s">
        <v>1603</v>
      </c>
      <c r="E587" s="5" t="s">
        <v>2637</v>
      </c>
      <c r="F587" s="5">
        <v>57</v>
      </c>
      <c r="G587" s="5" t="str" cm="1">
        <f t="array" ref="G587">_xlfn.IFS(F587&lt;12,"Child",F587&lt;18,"Teen",F587&lt;25,"Young",F587&lt;40,"Adult",F587&lt;60,"Middle Age",F587&gt;=60,"Old")</f>
        <v>Middle Age</v>
      </c>
      <c r="H587" s="5" t="s">
        <v>2044</v>
      </c>
      <c r="I587" s="5" t="s">
        <v>2046</v>
      </c>
      <c r="J587" s="5" t="s">
        <v>2017</v>
      </c>
      <c r="K587" s="5" t="str">
        <f>VLOOKUP(J587,Sheet2!$A$1:$B$11,2,FALSE)</f>
        <v>Casual Wear</v>
      </c>
      <c r="L587" s="5">
        <v>2</v>
      </c>
      <c r="M587" s="6">
        <v>207</v>
      </c>
      <c r="N587" s="6">
        <v>414</v>
      </c>
      <c r="O587" s="7">
        <v>0</v>
      </c>
      <c r="P587" s="8">
        <f t="shared" si="18"/>
        <v>0</v>
      </c>
      <c r="Q587" s="9">
        <f t="shared" si="19"/>
        <v>414</v>
      </c>
      <c r="R587" s="5">
        <v>8</v>
      </c>
      <c r="S587" s="5" t="s">
        <v>2034</v>
      </c>
      <c r="T587" s="5" t="s">
        <v>2037</v>
      </c>
    </row>
    <row r="588" spans="1:20" x14ac:dyDescent="0.25">
      <c r="A588" s="5" t="s">
        <v>601</v>
      </c>
      <c r="B588" s="10">
        <v>45697</v>
      </c>
      <c r="C588" s="5" t="s">
        <v>1015</v>
      </c>
      <c r="D588" s="11" t="s">
        <v>1604</v>
      </c>
      <c r="E588" s="5" t="s">
        <v>2638</v>
      </c>
      <c r="F588" s="5">
        <v>39</v>
      </c>
      <c r="G588" s="5" t="str" cm="1">
        <f t="array" ref="G588">_xlfn.IFS(F588&lt;12,"Child",F588&lt;18,"Teen",F588&lt;25,"Young",F588&lt;40,"Adult",F588&lt;60,"Middle Age",F588&gt;=60,"Old")</f>
        <v>Adult</v>
      </c>
      <c r="H588" s="5" t="s">
        <v>2044</v>
      </c>
      <c r="I588" s="5" t="s">
        <v>2052</v>
      </c>
      <c r="J588" s="5" t="s">
        <v>2023</v>
      </c>
      <c r="K588" s="5" t="str">
        <f>VLOOKUP(J588,Sheet2!$A$1:$B$11,2,FALSE)</f>
        <v>Formal Wear</v>
      </c>
      <c r="L588" s="5">
        <v>3</v>
      </c>
      <c r="M588" s="6">
        <v>597</v>
      </c>
      <c r="N588" s="6">
        <v>1791</v>
      </c>
      <c r="O588" s="7">
        <v>0</v>
      </c>
      <c r="P588" s="8">
        <f t="shared" si="18"/>
        <v>0</v>
      </c>
      <c r="Q588" s="9">
        <f t="shared" si="19"/>
        <v>1791</v>
      </c>
      <c r="R588" s="5">
        <v>35</v>
      </c>
      <c r="S588" s="5" t="s">
        <v>2034</v>
      </c>
      <c r="T588" s="5" t="s">
        <v>2037</v>
      </c>
    </row>
    <row r="589" spans="1:20" x14ac:dyDescent="0.25">
      <c r="A589" s="5" t="s">
        <v>602</v>
      </c>
      <c r="B589" s="10">
        <v>45364</v>
      </c>
      <c r="C589" s="5" t="s">
        <v>1017</v>
      </c>
      <c r="D589" s="11" t="s">
        <v>1605</v>
      </c>
      <c r="E589" s="5" t="s">
        <v>2639</v>
      </c>
      <c r="F589" s="5">
        <v>18</v>
      </c>
      <c r="G589" s="5" t="str" cm="1">
        <f t="array" ref="G589">_xlfn.IFS(F589&lt;12,"Child",F589&lt;18,"Teen",F589&lt;25,"Young",F589&lt;40,"Adult",F589&lt;60,"Middle Age",F589&gt;=60,"Old")</f>
        <v>Young</v>
      </c>
      <c r="H589" s="5" t="s">
        <v>2043</v>
      </c>
      <c r="I589" s="5" t="s">
        <v>2052</v>
      </c>
      <c r="J589" s="5" t="s">
        <v>2021</v>
      </c>
      <c r="K589" s="5" t="str">
        <f>VLOOKUP(J589,Sheet2!$A$1:$B$11,2,FALSE)</f>
        <v>Casual Wear</v>
      </c>
      <c r="L589" s="5">
        <v>4</v>
      </c>
      <c r="M589" s="6">
        <v>1131</v>
      </c>
      <c r="N589" s="6">
        <v>4524</v>
      </c>
      <c r="O589" s="7">
        <v>0</v>
      </c>
      <c r="P589" s="8">
        <f t="shared" si="18"/>
        <v>0</v>
      </c>
      <c r="Q589" s="9">
        <f t="shared" si="19"/>
        <v>4524</v>
      </c>
      <c r="R589" s="5">
        <v>90</v>
      </c>
      <c r="S589" s="5" t="s">
        <v>2034</v>
      </c>
      <c r="T589" s="5" t="s">
        <v>2036</v>
      </c>
    </row>
    <row r="590" spans="1:20" x14ac:dyDescent="0.25">
      <c r="A590" s="5" t="s">
        <v>603</v>
      </c>
      <c r="B590" s="10">
        <v>45660</v>
      </c>
      <c r="C590" s="5" t="s">
        <v>1014</v>
      </c>
      <c r="D590" s="11" t="s">
        <v>1606</v>
      </c>
      <c r="E590" s="5" t="s">
        <v>2640</v>
      </c>
      <c r="F590" s="5">
        <v>48</v>
      </c>
      <c r="G590" s="5" t="str" cm="1">
        <f t="array" ref="G590">_xlfn.IFS(F590&lt;12,"Child",F590&lt;18,"Teen",F590&lt;25,"Young",F590&lt;40,"Adult",F590&lt;60,"Middle Age",F590&gt;=60,"Old")</f>
        <v>Middle Age</v>
      </c>
      <c r="H590" s="5" t="s">
        <v>2043</v>
      </c>
      <c r="I590" s="5" t="s">
        <v>2045</v>
      </c>
      <c r="J590" s="5" t="s">
        <v>2016</v>
      </c>
      <c r="K590" s="5" t="str">
        <f>VLOOKUP(J590,Sheet2!$A$1:$B$11,2,FALSE)</f>
        <v>Winter Wear</v>
      </c>
      <c r="L590" s="5">
        <v>3</v>
      </c>
      <c r="M590" s="6">
        <v>971</v>
      </c>
      <c r="N590" s="6">
        <v>2913</v>
      </c>
      <c r="O590" s="7">
        <v>0.15</v>
      </c>
      <c r="P590" s="8">
        <f t="shared" si="18"/>
        <v>436.95</v>
      </c>
      <c r="Q590" s="9">
        <f t="shared" si="19"/>
        <v>2476.0500000000002</v>
      </c>
      <c r="R590" s="5">
        <v>49</v>
      </c>
      <c r="S590" s="5" t="s">
        <v>2032</v>
      </c>
      <c r="T590" s="5" t="s">
        <v>2037</v>
      </c>
    </row>
    <row r="591" spans="1:20" x14ac:dyDescent="0.25">
      <c r="A591" s="5" t="s">
        <v>604</v>
      </c>
      <c r="B591" s="10">
        <v>45699</v>
      </c>
      <c r="C591" s="5" t="s">
        <v>1019</v>
      </c>
      <c r="D591" s="11" t="s">
        <v>1607</v>
      </c>
      <c r="E591" s="5" t="s">
        <v>2641</v>
      </c>
      <c r="F591" s="5">
        <v>21</v>
      </c>
      <c r="G591" s="5" t="str" cm="1">
        <f t="array" ref="G591">_xlfn.IFS(F591&lt;12,"Child",F591&lt;18,"Teen",F591&lt;25,"Young",F591&lt;40,"Adult",F591&lt;60,"Middle Age",F591&gt;=60,"Old")</f>
        <v>Young</v>
      </c>
      <c r="H591" s="5" t="s">
        <v>2044</v>
      </c>
      <c r="I591" s="5" t="s">
        <v>2048</v>
      </c>
      <c r="J591" s="5" t="s">
        <v>2021</v>
      </c>
      <c r="K591" s="5" t="str">
        <f>VLOOKUP(J591,Sheet2!$A$1:$B$11,2,FALSE)</f>
        <v>Casual Wear</v>
      </c>
      <c r="L591" s="5">
        <v>2</v>
      </c>
      <c r="M591" s="6">
        <v>154</v>
      </c>
      <c r="N591" s="6">
        <v>308</v>
      </c>
      <c r="O591" s="7">
        <v>0.2</v>
      </c>
      <c r="P591" s="8">
        <f t="shared" si="18"/>
        <v>61.6</v>
      </c>
      <c r="Q591" s="9">
        <f t="shared" si="19"/>
        <v>246.4</v>
      </c>
      <c r="R591" s="5">
        <v>4</v>
      </c>
      <c r="S591" s="5" t="s">
        <v>2034</v>
      </c>
      <c r="T591" s="5" t="s">
        <v>2037</v>
      </c>
    </row>
    <row r="592" spans="1:20" x14ac:dyDescent="0.25">
      <c r="A592" s="5" t="s">
        <v>605</v>
      </c>
      <c r="B592" s="10">
        <v>45524</v>
      </c>
      <c r="C592" s="5" t="s">
        <v>1019</v>
      </c>
      <c r="D592" s="11" t="s">
        <v>1608</v>
      </c>
      <c r="E592" s="5" t="s">
        <v>2642</v>
      </c>
      <c r="F592" s="5">
        <v>56</v>
      </c>
      <c r="G592" s="5" t="str" cm="1">
        <f t="array" ref="G592">_xlfn.IFS(F592&lt;12,"Child",F592&lt;18,"Teen",F592&lt;25,"Young",F592&lt;40,"Adult",F592&lt;60,"Middle Age",F592&gt;=60,"Old")</f>
        <v>Middle Age</v>
      </c>
      <c r="H592" s="5" t="s">
        <v>2043</v>
      </c>
      <c r="I592" s="5" t="s">
        <v>2045</v>
      </c>
      <c r="J592" s="5" t="s">
        <v>2018</v>
      </c>
      <c r="K592" s="5" t="str">
        <f>VLOOKUP(J592,Sheet2!$A$1:$B$11,2,FALSE)</f>
        <v>Sportswear</v>
      </c>
      <c r="L592" s="5">
        <v>4</v>
      </c>
      <c r="M592" s="6">
        <v>941</v>
      </c>
      <c r="N592" s="6">
        <v>3764</v>
      </c>
      <c r="O592" s="7">
        <v>0.15</v>
      </c>
      <c r="P592" s="8">
        <f t="shared" si="18"/>
        <v>564.6</v>
      </c>
      <c r="Q592" s="9">
        <f t="shared" si="19"/>
        <v>3199.4</v>
      </c>
      <c r="R592" s="5">
        <v>63</v>
      </c>
      <c r="S592" s="5" t="s">
        <v>2034</v>
      </c>
      <c r="T592" s="5" t="s">
        <v>2037</v>
      </c>
    </row>
    <row r="593" spans="1:20" x14ac:dyDescent="0.25">
      <c r="A593" s="5" t="s">
        <v>606</v>
      </c>
      <c r="B593" s="10">
        <v>45409</v>
      </c>
      <c r="C593" s="5" t="s">
        <v>1020</v>
      </c>
      <c r="D593" s="11" t="s">
        <v>1609</v>
      </c>
      <c r="E593" s="5" t="s">
        <v>2643</v>
      </c>
      <c r="F593" s="5">
        <v>41</v>
      </c>
      <c r="G593" s="5" t="str" cm="1">
        <f t="array" ref="G593">_xlfn.IFS(F593&lt;12,"Child",F593&lt;18,"Teen",F593&lt;25,"Young",F593&lt;40,"Adult",F593&lt;60,"Middle Age",F593&gt;=60,"Old")</f>
        <v>Middle Age</v>
      </c>
      <c r="H593" s="5" t="s">
        <v>2044</v>
      </c>
      <c r="I593" s="5" t="s">
        <v>2050</v>
      </c>
      <c r="J593" s="5" t="s">
        <v>2024</v>
      </c>
      <c r="K593" s="5" t="str">
        <f>VLOOKUP(J593,Sheet2!$A$1:$B$11,2,FALSE)</f>
        <v>Fashion Accessories</v>
      </c>
      <c r="L593" s="5">
        <v>4</v>
      </c>
      <c r="M593" s="6">
        <v>736</v>
      </c>
      <c r="N593" s="6">
        <v>2944</v>
      </c>
      <c r="O593" s="7">
        <v>0.15</v>
      </c>
      <c r="P593" s="8">
        <f t="shared" si="18"/>
        <v>441.59999999999997</v>
      </c>
      <c r="Q593" s="9">
        <f t="shared" si="19"/>
        <v>2502.4</v>
      </c>
      <c r="R593" s="5">
        <v>50</v>
      </c>
      <c r="S593" s="5" t="s">
        <v>2033</v>
      </c>
      <c r="T593" s="5" t="s">
        <v>2036</v>
      </c>
    </row>
    <row r="594" spans="1:20" x14ac:dyDescent="0.25">
      <c r="A594" s="5" t="s">
        <v>607</v>
      </c>
      <c r="B594" s="10">
        <v>45588</v>
      </c>
      <c r="C594" s="5" t="s">
        <v>1017</v>
      </c>
      <c r="D594" s="11" t="s">
        <v>1610</v>
      </c>
      <c r="E594" s="5" t="s">
        <v>2644</v>
      </c>
      <c r="F594" s="5">
        <v>35</v>
      </c>
      <c r="G594" s="5" t="str" cm="1">
        <f t="array" ref="G594">_xlfn.IFS(F594&lt;12,"Child",F594&lt;18,"Teen",F594&lt;25,"Young",F594&lt;40,"Adult",F594&lt;60,"Middle Age",F594&gt;=60,"Old")</f>
        <v>Adult</v>
      </c>
      <c r="H594" s="5" t="s">
        <v>2043</v>
      </c>
      <c r="I594" s="5" t="s">
        <v>2050</v>
      </c>
      <c r="J594" s="5" t="s">
        <v>2020</v>
      </c>
      <c r="K594" s="5" t="str">
        <f>VLOOKUP(J594,Sheet2!$A$1:$B$11,2,FALSE)</f>
        <v>Summer Wear</v>
      </c>
      <c r="L594" s="5">
        <v>3</v>
      </c>
      <c r="M594" s="6">
        <v>604</v>
      </c>
      <c r="N594" s="6">
        <v>1812</v>
      </c>
      <c r="O594" s="7">
        <v>0.15</v>
      </c>
      <c r="P594" s="8">
        <f t="shared" si="18"/>
        <v>271.8</v>
      </c>
      <c r="Q594" s="9">
        <f t="shared" si="19"/>
        <v>1540.2</v>
      </c>
      <c r="R594" s="5">
        <v>30</v>
      </c>
      <c r="S594" s="5" t="s">
        <v>2033</v>
      </c>
      <c r="T594" s="5" t="s">
        <v>2035</v>
      </c>
    </row>
    <row r="595" spans="1:20" x14ac:dyDescent="0.25">
      <c r="A595" s="5" t="s">
        <v>608</v>
      </c>
      <c r="B595" s="10">
        <v>45407</v>
      </c>
      <c r="C595" s="5" t="s">
        <v>1018</v>
      </c>
      <c r="D595" s="11" t="s">
        <v>1611</v>
      </c>
      <c r="E595" s="5" t="s">
        <v>2645</v>
      </c>
      <c r="F595" s="5">
        <v>29</v>
      </c>
      <c r="G595" s="5" t="str" cm="1">
        <f t="array" ref="G595">_xlfn.IFS(F595&lt;12,"Child",F595&lt;18,"Teen",F595&lt;25,"Young",F595&lt;40,"Adult",F595&lt;60,"Middle Age",F595&gt;=60,"Old")</f>
        <v>Adult</v>
      </c>
      <c r="H595" s="5" t="s">
        <v>2043</v>
      </c>
      <c r="I595" s="5" t="s">
        <v>2015</v>
      </c>
      <c r="J595" s="5" t="s">
        <v>2016</v>
      </c>
      <c r="K595" s="5" t="str">
        <f>VLOOKUP(J595,Sheet2!$A$1:$B$11,2,FALSE)</f>
        <v>Winter Wear</v>
      </c>
      <c r="L595" s="5">
        <v>2</v>
      </c>
      <c r="M595" s="6">
        <v>206</v>
      </c>
      <c r="N595" s="6">
        <v>412</v>
      </c>
      <c r="O595" s="7">
        <v>0.2</v>
      </c>
      <c r="P595" s="8">
        <f t="shared" si="18"/>
        <v>82.4</v>
      </c>
      <c r="Q595" s="9">
        <f t="shared" si="19"/>
        <v>329.6</v>
      </c>
      <c r="R595" s="5">
        <v>6</v>
      </c>
      <c r="S595" s="5" t="s">
        <v>2033</v>
      </c>
      <c r="T595" s="5" t="s">
        <v>2035</v>
      </c>
    </row>
    <row r="596" spans="1:20" x14ac:dyDescent="0.25">
      <c r="A596" s="5" t="s">
        <v>609</v>
      </c>
      <c r="B596" s="10">
        <v>45672</v>
      </c>
      <c r="C596" s="5" t="s">
        <v>1017</v>
      </c>
      <c r="D596" s="11" t="s">
        <v>1612</v>
      </c>
      <c r="E596" s="5" t="s">
        <v>2646</v>
      </c>
      <c r="F596" s="5">
        <v>33</v>
      </c>
      <c r="G596" s="5" t="str" cm="1">
        <f t="array" ref="G596">_xlfn.IFS(F596&lt;12,"Child",F596&lt;18,"Teen",F596&lt;25,"Young",F596&lt;40,"Adult",F596&lt;60,"Middle Age",F596&gt;=60,"Old")</f>
        <v>Adult</v>
      </c>
      <c r="H596" s="5" t="s">
        <v>2044</v>
      </c>
      <c r="I596" s="5" t="s">
        <v>2048</v>
      </c>
      <c r="J596" s="5" t="s">
        <v>2017</v>
      </c>
      <c r="K596" s="5" t="str">
        <f>VLOOKUP(J596,Sheet2!$A$1:$B$11,2,FALSE)</f>
        <v>Casual Wear</v>
      </c>
      <c r="L596" s="5">
        <v>3</v>
      </c>
      <c r="M596" s="6">
        <v>1037</v>
      </c>
      <c r="N596" s="6">
        <v>3111</v>
      </c>
      <c r="O596" s="7">
        <v>0.2</v>
      </c>
      <c r="P596" s="8">
        <f t="shared" si="18"/>
        <v>622.20000000000005</v>
      </c>
      <c r="Q596" s="9">
        <f t="shared" si="19"/>
        <v>2488.8000000000002</v>
      </c>
      <c r="R596" s="5">
        <v>49</v>
      </c>
      <c r="S596" s="5" t="s">
        <v>2032</v>
      </c>
      <c r="T596" s="5" t="s">
        <v>2037</v>
      </c>
    </row>
    <row r="597" spans="1:20" x14ac:dyDescent="0.25">
      <c r="A597" s="5" t="s">
        <v>610</v>
      </c>
      <c r="B597" s="10">
        <v>45670</v>
      </c>
      <c r="C597" s="5" t="s">
        <v>1016</v>
      </c>
      <c r="D597" s="11" t="s">
        <v>1613</v>
      </c>
      <c r="E597" s="5" t="s">
        <v>2647</v>
      </c>
      <c r="F597" s="5">
        <v>54</v>
      </c>
      <c r="G597" s="5" t="str" cm="1">
        <f t="array" ref="G597">_xlfn.IFS(F597&lt;12,"Child",F597&lt;18,"Teen",F597&lt;25,"Young",F597&lt;40,"Adult",F597&lt;60,"Middle Age",F597&gt;=60,"Old")</f>
        <v>Middle Age</v>
      </c>
      <c r="H597" s="5" t="s">
        <v>2044</v>
      </c>
      <c r="I597" s="5" t="s">
        <v>2051</v>
      </c>
      <c r="J597" s="5" t="s">
        <v>2020</v>
      </c>
      <c r="K597" s="5" t="str">
        <f>VLOOKUP(J597,Sheet2!$A$1:$B$11,2,FALSE)</f>
        <v>Summer Wear</v>
      </c>
      <c r="L597" s="5">
        <v>1</v>
      </c>
      <c r="M597" s="6">
        <v>555</v>
      </c>
      <c r="N597" s="6">
        <v>555</v>
      </c>
      <c r="O597" s="7">
        <v>0.1</v>
      </c>
      <c r="P597" s="8">
        <f t="shared" si="18"/>
        <v>55.5</v>
      </c>
      <c r="Q597" s="9">
        <f t="shared" si="19"/>
        <v>499.5</v>
      </c>
      <c r="R597" s="5">
        <v>9</v>
      </c>
      <c r="S597" s="5" t="s">
        <v>2033</v>
      </c>
      <c r="T597" s="5" t="s">
        <v>2037</v>
      </c>
    </row>
    <row r="598" spans="1:20" x14ac:dyDescent="0.25">
      <c r="A598" s="5" t="s">
        <v>611</v>
      </c>
      <c r="B598" s="10">
        <v>45563</v>
      </c>
      <c r="C598" s="5" t="s">
        <v>1020</v>
      </c>
      <c r="D598" s="11" t="s">
        <v>1614</v>
      </c>
      <c r="E598" s="5" t="s">
        <v>2648</v>
      </c>
      <c r="F598" s="5">
        <v>47</v>
      </c>
      <c r="G598" s="5" t="str" cm="1">
        <f t="array" ref="G598">_xlfn.IFS(F598&lt;12,"Child",F598&lt;18,"Teen",F598&lt;25,"Young",F598&lt;40,"Adult",F598&lt;60,"Middle Age",F598&gt;=60,"Old")</f>
        <v>Middle Age</v>
      </c>
      <c r="H598" s="5" t="s">
        <v>2044</v>
      </c>
      <c r="I598" s="5" t="s">
        <v>2052</v>
      </c>
      <c r="J598" s="5" t="s">
        <v>2023</v>
      </c>
      <c r="K598" s="5" t="str">
        <f>VLOOKUP(J598,Sheet2!$A$1:$B$11,2,FALSE)</f>
        <v>Formal Wear</v>
      </c>
      <c r="L598" s="5">
        <v>3</v>
      </c>
      <c r="M598" s="6">
        <v>673</v>
      </c>
      <c r="N598" s="6">
        <v>2019</v>
      </c>
      <c r="O598" s="7">
        <v>0</v>
      </c>
      <c r="P598" s="8">
        <f t="shared" si="18"/>
        <v>0</v>
      </c>
      <c r="Q598" s="9">
        <f t="shared" si="19"/>
        <v>2019</v>
      </c>
      <c r="R598" s="5">
        <v>40</v>
      </c>
      <c r="S598" s="5" t="s">
        <v>2034</v>
      </c>
      <c r="T598" s="5" t="s">
        <v>2036</v>
      </c>
    </row>
    <row r="599" spans="1:20" x14ac:dyDescent="0.25">
      <c r="A599" s="5" t="s">
        <v>612</v>
      </c>
      <c r="B599" s="10">
        <v>45624</v>
      </c>
      <c r="C599" s="5" t="s">
        <v>1018</v>
      </c>
      <c r="D599" s="11" t="s">
        <v>1615</v>
      </c>
      <c r="E599" s="5" t="s">
        <v>2649</v>
      </c>
      <c r="F599" s="5">
        <v>42</v>
      </c>
      <c r="G599" s="5" t="str" cm="1">
        <f t="array" ref="G599">_xlfn.IFS(F599&lt;12,"Child",F599&lt;18,"Teen",F599&lt;25,"Young",F599&lt;40,"Adult",F599&lt;60,"Middle Age",F599&gt;=60,"Old")</f>
        <v>Middle Age</v>
      </c>
      <c r="H599" s="5" t="s">
        <v>2044</v>
      </c>
      <c r="I599" s="5" t="s">
        <v>2049</v>
      </c>
      <c r="J599" s="5" t="s">
        <v>2024</v>
      </c>
      <c r="K599" s="5" t="str">
        <f>VLOOKUP(J599,Sheet2!$A$1:$B$11,2,FALSE)</f>
        <v>Fashion Accessories</v>
      </c>
      <c r="L599" s="5">
        <v>1</v>
      </c>
      <c r="M599" s="6">
        <v>702</v>
      </c>
      <c r="N599" s="6">
        <v>702</v>
      </c>
      <c r="O599" s="7">
        <v>0.2</v>
      </c>
      <c r="P599" s="8">
        <f t="shared" si="18"/>
        <v>140.4</v>
      </c>
      <c r="Q599" s="9">
        <f t="shared" si="19"/>
        <v>561.6</v>
      </c>
      <c r="R599" s="5">
        <v>11</v>
      </c>
      <c r="S599" s="5" t="s">
        <v>2034</v>
      </c>
      <c r="T599" s="5" t="s">
        <v>2035</v>
      </c>
    </row>
    <row r="600" spans="1:20" x14ac:dyDescent="0.25">
      <c r="A600" s="5" t="s">
        <v>613</v>
      </c>
      <c r="B600" s="10">
        <v>45446</v>
      </c>
      <c r="C600" s="5" t="s">
        <v>1016</v>
      </c>
      <c r="D600" s="11" t="s">
        <v>1616</v>
      </c>
      <c r="E600" s="5" t="s">
        <v>2650</v>
      </c>
      <c r="F600" s="5">
        <v>27</v>
      </c>
      <c r="G600" s="5" t="str" cm="1">
        <f t="array" ref="G600">_xlfn.IFS(F600&lt;12,"Child",F600&lt;18,"Teen",F600&lt;25,"Young",F600&lt;40,"Adult",F600&lt;60,"Middle Age",F600&gt;=60,"Old")</f>
        <v>Adult</v>
      </c>
      <c r="H600" s="5" t="s">
        <v>2043</v>
      </c>
      <c r="I600" s="5" t="s">
        <v>2052</v>
      </c>
      <c r="J600" s="5" t="s">
        <v>2022</v>
      </c>
      <c r="K600" s="5" t="str">
        <f>VLOOKUP(J600,Sheet2!$A$1:$B$11,2,FALSE)</f>
        <v>Sportswear</v>
      </c>
      <c r="L600" s="5">
        <v>3</v>
      </c>
      <c r="M600" s="6">
        <v>162</v>
      </c>
      <c r="N600" s="6">
        <v>486</v>
      </c>
      <c r="O600" s="7">
        <v>0.2</v>
      </c>
      <c r="P600" s="8">
        <f t="shared" si="18"/>
        <v>97.2</v>
      </c>
      <c r="Q600" s="9">
        <f t="shared" si="19"/>
        <v>388.8</v>
      </c>
      <c r="R600" s="5">
        <v>7</v>
      </c>
      <c r="S600" s="5" t="s">
        <v>2033</v>
      </c>
      <c r="T600" s="5" t="s">
        <v>2037</v>
      </c>
    </row>
    <row r="601" spans="1:20" x14ac:dyDescent="0.25">
      <c r="A601" s="5" t="s">
        <v>614</v>
      </c>
      <c r="B601" s="10">
        <v>45389</v>
      </c>
      <c r="C601" s="5" t="s">
        <v>1015</v>
      </c>
      <c r="D601" s="11" t="s">
        <v>1617</v>
      </c>
      <c r="E601" s="5" t="s">
        <v>2651</v>
      </c>
      <c r="F601" s="5">
        <v>56</v>
      </c>
      <c r="G601" s="5" t="str" cm="1">
        <f t="array" ref="G601">_xlfn.IFS(F601&lt;12,"Child",F601&lt;18,"Teen",F601&lt;25,"Young",F601&lt;40,"Adult",F601&lt;60,"Middle Age",F601&gt;=60,"Old")</f>
        <v>Middle Age</v>
      </c>
      <c r="H601" s="5" t="s">
        <v>2044</v>
      </c>
      <c r="I601" s="5" t="s">
        <v>2046</v>
      </c>
      <c r="J601" s="5" t="s">
        <v>2024</v>
      </c>
      <c r="K601" s="5" t="str">
        <f>VLOOKUP(J601,Sheet2!$A$1:$B$11,2,FALSE)</f>
        <v>Fashion Accessories</v>
      </c>
      <c r="L601" s="5">
        <v>5</v>
      </c>
      <c r="M601" s="6">
        <v>619</v>
      </c>
      <c r="N601" s="6">
        <v>3095</v>
      </c>
      <c r="O601" s="7">
        <v>0.15</v>
      </c>
      <c r="P601" s="8">
        <f t="shared" si="18"/>
        <v>464.25</v>
      </c>
      <c r="Q601" s="9">
        <f t="shared" si="19"/>
        <v>2630.75</v>
      </c>
      <c r="R601" s="5">
        <v>52</v>
      </c>
      <c r="S601" s="5" t="s">
        <v>2034</v>
      </c>
      <c r="T601" s="5" t="s">
        <v>2035</v>
      </c>
    </row>
    <row r="602" spans="1:20" x14ac:dyDescent="0.25">
      <c r="A602" s="5" t="s">
        <v>615</v>
      </c>
      <c r="B602" s="10">
        <v>45579</v>
      </c>
      <c r="C602" s="5" t="s">
        <v>1016</v>
      </c>
      <c r="D602" s="11" t="s">
        <v>1618</v>
      </c>
      <c r="E602" s="5" t="s">
        <v>2652</v>
      </c>
      <c r="F602" s="5">
        <v>23</v>
      </c>
      <c r="G602" s="5" t="str" cm="1">
        <f t="array" ref="G602">_xlfn.IFS(F602&lt;12,"Child",F602&lt;18,"Teen",F602&lt;25,"Young",F602&lt;40,"Adult",F602&lt;60,"Middle Age",F602&gt;=60,"Old")</f>
        <v>Young</v>
      </c>
      <c r="H602" s="5" t="s">
        <v>2043</v>
      </c>
      <c r="I602" s="5" t="s">
        <v>2047</v>
      </c>
      <c r="J602" s="5" t="s">
        <v>2021</v>
      </c>
      <c r="K602" s="5" t="str">
        <f>VLOOKUP(J602,Sheet2!$A$1:$B$11,2,FALSE)</f>
        <v>Casual Wear</v>
      </c>
      <c r="L602" s="5">
        <v>1</v>
      </c>
      <c r="M602" s="6">
        <v>1129</v>
      </c>
      <c r="N602" s="6">
        <v>1129</v>
      </c>
      <c r="O602" s="7">
        <v>0</v>
      </c>
      <c r="P602" s="8">
        <f t="shared" si="18"/>
        <v>0</v>
      </c>
      <c r="Q602" s="9">
        <f t="shared" si="19"/>
        <v>1129</v>
      </c>
      <c r="R602" s="5">
        <v>22</v>
      </c>
      <c r="S602" s="5" t="s">
        <v>2034</v>
      </c>
      <c r="T602" s="5" t="s">
        <v>2036</v>
      </c>
    </row>
    <row r="603" spans="1:20" x14ac:dyDescent="0.25">
      <c r="A603" s="5" t="s">
        <v>616</v>
      </c>
      <c r="B603" s="10">
        <v>45482</v>
      </c>
      <c r="C603" s="5" t="s">
        <v>1019</v>
      </c>
      <c r="D603" s="11" t="s">
        <v>1619</v>
      </c>
      <c r="E603" s="5" t="s">
        <v>2653</v>
      </c>
      <c r="F603" s="5">
        <v>45</v>
      </c>
      <c r="G603" s="5" t="str" cm="1">
        <f t="array" ref="G603">_xlfn.IFS(F603&lt;12,"Child",F603&lt;18,"Teen",F603&lt;25,"Young",F603&lt;40,"Adult",F603&lt;60,"Middle Age",F603&gt;=60,"Old")</f>
        <v>Middle Age</v>
      </c>
      <c r="H603" s="5" t="s">
        <v>2043</v>
      </c>
      <c r="I603" s="5" t="s">
        <v>2050</v>
      </c>
      <c r="J603" s="5" t="s">
        <v>2018</v>
      </c>
      <c r="K603" s="5" t="str">
        <f>VLOOKUP(J603,Sheet2!$A$1:$B$11,2,FALSE)</f>
        <v>Sportswear</v>
      </c>
      <c r="L603" s="5">
        <v>3</v>
      </c>
      <c r="M603" s="6">
        <v>287</v>
      </c>
      <c r="N603" s="6">
        <v>861</v>
      </c>
      <c r="O603" s="7">
        <v>0.05</v>
      </c>
      <c r="P603" s="8">
        <f t="shared" si="18"/>
        <v>43.050000000000004</v>
      </c>
      <c r="Q603" s="9">
        <f t="shared" si="19"/>
        <v>817.95</v>
      </c>
      <c r="R603" s="5">
        <v>16</v>
      </c>
      <c r="S603" s="5" t="s">
        <v>2033</v>
      </c>
      <c r="T603" s="5" t="s">
        <v>2035</v>
      </c>
    </row>
    <row r="604" spans="1:20" x14ac:dyDescent="0.25">
      <c r="A604" s="5" t="s">
        <v>617</v>
      </c>
      <c r="B604" s="10">
        <v>45525</v>
      </c>
      <c r="C604" s="5" t="s">
        <v>1017</v>
      </c>
      <c r="D604" s="11" t="s">
        <v>1620</v>
      </c>
      <c r="E604" s="5" t="s">
        <v>2654</v>
      </c>
      <c r="F604" s="5">
        <v>41</v>
      </c>
      <c r="G604" s="5" t="str" cm="1">
        <f t="array" ref="G604">_xlfn.IFS(F604&lt;12,"Child",F604&lt;18,"Teen",F604&lt;25,"Young",F604&lt;40,"Adult",F604&lt;60,"Middle Age",F604&gt;=60,"Old")</f>
        <v>Middle Age</v>
      </c>
      <c r="H604" s="5" t="s">
        <v>2043</v>
      </c>
      <c r="I604" s="5" t="s">
        <v>2052</v>
      </c>
      <c r="J604" s="5" t="s">
        <v>2016</v>
      </c>
      <c r="K604" s="5" t="str">
        <f>VLOOKUP(J604,Sheet2!$A$1:$B$11,2,FALSE)</f>
        <v>Winter Wear</v>
      </c>
      <c r="L604" s="5">
        <v>1</v>
      </c>
      <c r="M604" s="6">
        <v>731</v>
      </c>
      <c r="N604" s="6">
        <v>731</v>
      </c>
      <c r="O604" s="7">
        <v>0.1</v>
      </c>
      <c r="P604" s="8">
        <f t="shared" si="18"/>
        <v>73.100000000000009</v>
      </c>
      <c r="Q604" s="9">
        <f t="shared" si="19"/>
        <v>657.9</v>
      </c>
      <c r="R604" s="5">
        <v>13</v>
      </c>
      <c r="S604" s="5" t="s">
        <v>2034</v>
      </c>
      <c r="T604" s="5" t="s">
        <v>2036</v>
      </c>
    </row>
    <row r="605" spans="1:20" x14ac:dyDescent="0.25">
      <c r="A605" s="5" t="s">
        <v>618</v>
      </c>
      <c r="B605" s="10">
        <v>45648</v>
      </c>
      <c r="C605" s="5" t="s">
        <v>1015</v>
      </c>
      <c r="D605" s="11" t="s">
        <v>1621</v>
      </c>
      <c r="E605" s="5" t="s">
        <v>2655</v>
      </c>
      <c r="F605" s="5">
        <v>30</v>
      </c>
      <c r="G605" s="5" t="str" cm="1">
        <f t="array" ref="G605">_xlfn.IFS(F605&lt;12,"Child",F605&lt;18,"Teen",F605&lt;25,"Young",F605&lt;40,"Adult",F605&lt;60,"Middle Age",F605&gt;=60,"Old")</f>
        <v>Adult</v>
      </c>
      <c r="H605" s="5" t="s">
        <v>2043</v>
      </c>
      <c r="I605" s="5" t="s">
        <v>2047</v>
      </c>
      <c r="J605" s="5" t="s">
        <v>2017</v>
      </c>
      <c r="K605" s="5" t="str">
        <f>VLOOKUP(J605,Sheet2!$A$1:$B$11,2,FALSE)</f>
        <v>Casual Wear</v>
      </c>
      <c r="L605" s="5">
        <v>1</v>
      </c>
      <c r="M605" s="6">
        <v>288</v>
      </c>
      <c r="N605" s="6">
        <v>288</v>
      </c>
      <c r="O605" s="7">
        <v>0.15</v>
      </c>
      <c r="P605" s="8">
        <f t="shared" si="18"/>
        <v>43.199999999999996</v>
      </c>
      <c r="Q605" s="9">
        <f t="shared" si="19"/>
        <v>244.8</v>
      </c>
      <c r="R605" s="5">
        <v>4</v>
      </c>
      <c r="S605" s="5" t="s">
        <v>2032</v>
      </c>
      <c r="T605" s="5" t="s">
        <v>2037</v>
      </c>
    </row>
    <row r="606" spans="1:20" x14ac:dyDescent="0.25">
      <c r="A606" s="5" t="s">
        <v>619</v>
      </c>
      <c r="B606" s="10">
        <v>45587</v>
      </c>
      <c r="C606" s="5" t="s">
        <v>1019</v>
      </c>
      <c r="D606" s="11" t="s">
        <v>1622</v>
      </c>
      <c r="E606" s="5" t="s">
        <v>2656</v>
      </c>
      <c r="F606" s="5">
        <v>51</v>
      </c>
      <c r="G606" s="5" t="str" cm="1">
        <f t="array" ref="G606">_xlfn.IFS(F606&lt;12,"Child",F606&lt;18,"Teen",F606&lt;25,"Young",F606&lt;40,"Adult",F606&lt;60,"Middle Age",F606&gt;=60,"Old")</f>
        <v>Middle Age</v>
      </c>
      <c r="H606" s="5" t="s">
        <v>2044</v>
      </c>
      <c r="I606" s="5" t="s">
        <v>2015</v>
      </c>
      <c r="J606" s="5" t="s">
        <v>2022</v>
      </c>
      <c r="K606" s="5" t="str">
        <f>VLOOKUP(J606,Sheet2!$A$1:$B$11,2,FALSE)</f>
        <v>Sportswear</v>
      </c>
      <c r="L606" s="5">
        <v>5</v>
      </c>
      <c r="M606" s="6">
        <v>417</v>
      </c>
      <c r="N606" s="6">
        <v>2085</v>
      </c>
      <c r="O606" s="7">
        <v>0.05</v>
      </c>
      <c r="P606" s="8">
        <f t="shared" si="18"/>
        <v>104.25</v>
      </c>
      <c r="Q606" s="9">
        <f t="shared" si="19"/>
        <v>1980.75</v>
      </c>
      <c r="R606" s="5">
        <v>39</v>
      </c>
      <c r="S606" s="5" t="s">
        <v>2033</v>
      </c>
      <c r="T606" s="5" t="s">
        <v>2036</v>
      </c>
    </row>
    <row r="607" spans="1:20" x14ac:dyDescent="0.25">
      <c r="A607" s="5" t="s">
        <v>620</v>
      </c>
      <c r="B607" s="10">
        <v>45634</v>
      </c>
      <c r="C607" s="5" t="s">
        <v>1015</v>
      </c>
      <c r="D607" s="11" t="s">
        <v>1623</v>
      </c>
      <c r="E607" s="5" t="s">
        <v>2657</v>
      </c>
      <c r="F607" s="5">
        <v>57</v>
      </c>
      <c r="G607" s="5" t="str" cm="1">
        <f t="array" ref="G607">_xlfn.IFS(F607&lt;12,"Child",F607&lt;18,"Teen",F607&lt;25,"Young",F607&lt;40,"Adult",F607&lt;60,"Middle Age",F607&gt;=60,"Old")</f>
        <v>Middle Age</v>
      </c>
      <c r="H607" s="5" t="s">
        <v>2043</v>
      </c>
      <c r="I607" s="5" t="s">
        <v>2049</v>
      </c>
      <c r="J607" s="5" t="s">
        <v>2018</v>
      </c>
      <c r="K607" s="5" t="str">
        <f>VLOOKUP(J607,Sheet2!$A$1:$B$11,2,FALSE)</f>
        <v>Sportswear</v>
      </c>
      <c r="L607" s="5">
        <v>2</v>
      </c>
      <c r="M607" s="6">
        <v>1175</v>
      </c>
      <c r="N607" s="6">
        <v>2350</v>
      </c>
      <c r="O607" s="7">
        <v>0.15</v>
      </c>
      <c r="P607" s="8">
        <f t="shared" si="18"/>
        <v>352.5</v>
      </c>
      <c r="Q607" s="9">
        <f t="shared" si="19"/>
        <v>1997.5</v>
      </c>
      <c r="R607" s="5">
        <v>39</v>
      </c>
      <c r="S607" s="5" t="s">
        <v>2033</v>
      </c>
      <c r="T607" s="5" t="s">
        <v>2035</v>
      </c>
    </row>
    <row r="608" spans="1:20" x14ac:dyDescent="0.25">
      <c r="A608" s="5" t="s">
        <v>621</v>
      </c>
      <c r="B608" s="10">
        <v>45408</v>
      </c>
      <c r="C608" s="5" t="s">
        <v>1014</v>
      </c>
      <c r="D608" s="11" t="s">
        <v>1624</v>
      </c>
      <c r="E608" s="5" t="s">
        <v>2658</v>
      </c>
      <c r="F608" s="5">
        <v>37</v>
      </c>
      <c r="G608" s="5" t="str" cm="1">
        <f t="array" ref="G608">_xlfn.IFS(F608&lt;12,"Child",F608&lt;18,"Teen",F608&lt;25,"Young",F608&lt;40,"Adult",F608&lt;60,"Middle Age",F608&gt;=60,"Old")</f>
        <v>Adult</v>
      </c>
      <c r="H608" s="5" t="s">
        <v>2044</v>
      </c>
      <c r="I608" s="5" t="s">
        <v>2046</v>
      </c>
      <c r="J608" s="5" t="s">
        <v>2016</v>
      </c>
      <c r="K608" s="5" t="str">
        <f>VLOOKUP(J608,Sheet2!$A$1:$B$11,2,FALSE)</f>
        <v>Winter Wear</v>
      </c>
      <c r="L608" s="5">
        <v>1</v>
      </c>
      <c r="M608" s="6">
        <v>1021</v>
      </c>
      <c r="N608" s="6">
        <v>1021</v>
      </c>
      <c r="O608" s="7">
        <v>0.2</v>
      </c>
      <c r="P608" s="8">
        <f t="shared" si="18"/>
        <v>204.20000000000002</v>
      </c>
      <c r="Q608" s="9">
        <f t="shared" si="19"/>
        <v>816.8</v>
      </c>
      <c r="R608" s="5">
        <v>16</v>
      </c>
      <c r="S608" s="5" t="s">
        <v>2032</v>
      </c>
      <c r="T608" s="5" t="s">
        <v>2036</v>
      </c>
    </row>
    <row r="609" spans="1:20" x14ac:dyDescent="0.25">
      <c r="A609" s="5" t="s">
        <v>622</v>
      </c>
      <c r="B609" s="10">
        <v>45696</v>
      </c>
      <c r="C609" s="5" t="s">
        <v>1020</v>
      </c>
      <c r="D609" s="11" t="s">
        <v>1625</v>
      </c>
      <c r="E609" s="5" t="s">
        <v>2659</v>
      </c>
      <c r="F609" s="5">
        <v>56</v>
      </c>
      <c r="G609" s="5" t="str" cm="1">
        <f t="array" ref="G609">_xlfn.IFS(F609&lt;12,"Child",F609&lt;18,"Teen",F609&lt;25,"Young",F609&lt;40,"Adult",F609&lt;60,"Middle Age",F609&gt;=60,"Old")</f>
        <v>Middle Age</v>
      </c>
      <c r="H609" s="5" t="s">
        <v>2043</v>
      </c>
      <c r="I609" s="5" t="s">
        <v>2051</v>
      </c>
      <c r="J609" s="5" t="s">
        <v>2024</v>
      </c>
      <c r="K609" s="5" t="str">
        <f>VLOOKUP(J609,Sheet2!$A$1:$B$11,2,FALSE)</f>
        <v>Fashion Accessories</v>
      </c>
      <c r="L609" s="5">
        <v>4</v>
      </c>
      <c r="M609" s="6">
        <v>878</v>
      </c>
      <c r="N609" s="6">
        <v>3512</v>
      </c>
      <c r="O609" s="7">
        <v>0.15</v>
      </c>
      <c r="P609" s="8">
        <f t="shared" si="18"/>
        <v>526.79999999999995</v>
      </c>
      <c r="Q609" s="9">
        <f t="shared" si="19"/>
        <v>2985.2</v>
      </c>
      <c r="R609" s="5">
        <v>59</v>
      </c>
      <c r="S609" s="5" t="s">
        <v>2032</v>
      </c>
      <c r="T609" s="5" t="s">
        <v>2037</v>
      </c>
    </row>
    <row r="610" spans="1:20" x14ac:dyDescent="0.25">
      <c r="A610" s="5" t="s">
        <v>623</v>
      </c>
      <c r="B610" s="10">
        <v>45605</v>
      </c>
      <c r="C610" s="5" t="s">
        <v>1020</v>
      </c>
      <c r="D610" s="11" t="s">
        <v>1626</v>
      </c>
      <c r="E610" s="5" t="s">
        <v>2660</v>
      </c>
      <c r="F610" s="5">
        <v>38</v>
      </c>
      <c r="G610" s="5" t="str" cm="1">
        <f t="array" ref="G610">_xlfn.IFS(F610&lt;12,"Child",F610&lt;18,"Teen",F610&lt;25,"Young",F610&lt;40,"Adult",F610&lt;60,"Middle Age",F610&gt;=60,"Old")</f>
        <v>Adult</v>
      </c>
      <c r="H610" s="5" t="s">
        <v>2043</v>
      </c>
      <c r="I610" s="5" t="s">
        <v>2015</v>
      </c>
      <c r="J610" s="5" t="s">
        <v>2016</v>
      </c>
      <c r="K610" s="5" t="str">
        <f>VLOOKUP(J610,Sheet2!$A$1:$B$11,2,FALSE)</f>
        <v>Winter Wear</v>
      </c>
      <c r="L610" s="5">
        <v>2</v>
      </c>
      <c r="M610" s="6">
        <v>522</v>
      </c>
      <c r="N610" s="6">
        <v>1044</v>
      </c>
      <c r="O610" s="7">
        <v>0.2</v>
      </c>
      <c r="P610" s="8">
        <f t="shared" si="18"/>
        <v>208.8</v>
      </c>
      <c r="Q610" s="9">
        <f t="shared" si="19"/>
        <v>835.2</v>
      </c>
      <c r="R610" s="5">
        <v>16</v>
      </c>
      <c r="S610" s="5" t="s">
        <v>2034</v>
      </c>
      <c r="T610" s="5" t="s">
        <v>2037</v>
      </c>
    </row>
    <row r="611" spans="1:20" x14ac:dyDescent="0.25">
      <c r="A611" s="5" t="s">
        <v>624</v>
      </c>
      <c r="B611" s="10">
        <v>45556</v>
      </c>
      <c r="C611" s="5" t="s">
        <v>1020</v>
      </c>
      <c r="D611" s="11" t="s">
        <v>1627</v>
      </c>
      <c r="E611" s="5" t="s">
        <v>2661</v>
      </c>
      <c r="F611" s="5">
        <v>47</v>
      </c>
      <c r="G611" s="5" t="str" cm="1">
        <f t="array" ref="G611">_xlfn.IFS(F611&lt;12,"Child",F611&lt;18,"Teen",F611&lt;25,"Young",F611&lt;40,"Adult",F611&lt;60,"Middle Age",F611&gt;=60,"Old")</f>
        <v>Middle Age</v>
      </c>
      <c r="H611" s="5" t="s">
        <v>2044</v>
      </c>
      <c r="I611" s="5" t="s">
        <v>2046</v>
      </c>
      <c r="J611" s="5" t="s">
        <v>2025</v>
      </c>
      <c r="K611" s="5" t="str">
        <f>VLOOKUP(J611,Sheet2!$A$1:$B$11,2,FALSE)</f>
        <v>Formal Wear</v>
      </c>
      <c r="L611" s="5">
        <v>5</v>
      </c>
      <c r="M611" s="6">
        <v>1091</v>
      </c>
      <c r="N611" s="6">
        <v>5455</v>
      </c>
      <c r="O611" s="7">
        <v>0.2</v>
      </c>
      <c r="P611" s="8">
        <f t="shared" si="18"/>
        <v>1091</v>
      </c>
      <c r="Q611" s="9">
        <f t="shared" si="19"/>
        <v>4364</v>
      </c>
      <c r="R611" s="5">
        <v>87</v>
      </c>
      <c r="S611" s="5" t="s">
        <v>2033</v>
      </c>
      <c r="T611" s="5" t="s">
        <v>2035</v>
      </c>
    </row>
    <row r="612" spans="1:20" x14ac:dyDescent="0.25">
      <c r="A612" s="5" t="s">
        <v>625</v>
      </c>
      <c r="B612" s="10">
        <v>45410</v>
      </c>
      <c r="C612" s="5" t="s">
        <v>1015</v>
      </c>
      <c r="D612" s="11" t="s">
        <v>1628</v>
      </c>
      <c r="E612" s="5" t="s">
        <v>2662</v>
      </c>
      <c r="F612" s="5">
        <v>56</v>
      </c>
      <c r="G612" s="5" t="str" cm="1">
        <f t="array" ref="G612">_xlfn.IFS(F612&lt;12,"Child",F612&lt;18,"Teen",F612&lt;25,"Young",F612&lt;40,"Adult",F612&lt;60,"Middle Age",F612&gt;=60,"Old")</f>
        <v>Middle Age</v>
      </c>
      <c r="H612" s="5" t="s">
        <v>2043</v>
      </c>
      <c r="I612" s="5" t="s">
        <v>2051</v>
      </c>
      <c r="J612" s="5" t="s">
        <v>2016</v>
      </c>
      <c r="K612" s="5" t="str">
        <f>VLOOKUP(J612,Sheet2!$A$1:$B$11,2,FALSE)</f>
        <v>Winter Wear</v>
      </c>
      <c r="L612" s="5">
        <v>4</v>
      </c>
      <c r="M612" s="6">
        <v>335</v>
      </c>
      <c r="N612" s="6">
        <v>1340</v>
      </c>
      <c r="O612" s="7">
        <v>0.2</v>
      </c>
      <c r="P612" s="8">
        <f t="shared" si="18"/>
        <v>268</v>
      </c>
      <c r="Q612" s="9">
        <f t="shared" si="19"/>
        <v>1072</v>
      </c>
      <c r="R612" s="5">
        <v>21</v>
      </c>
      <c r="S612" s="5" t="s">
        <v>2032</v>
      </c>
      <c r="T612" s="5" t="s">
        <v>2035</v>
      </c>
    </row>
    <row r="613" spans="1:20" x14ac:dyDescent="0.25">
      <c r="A613" s="5" t="s">
        <v>626</v>
      </c>
      <c r="B613" s="10">
        <v>45506</v>
      </c>
      <c r="C613" s="5" t="s">
        <v>1014</v>
      </c>
      <c r="D613" s="11" t="s">
        <v>1629</v>
      </c>
      <c r="E613" s="5" t="s">
        <v>2663</v>
      </c>
      <c r="F613" s="5">
        <v>18</v>
      </c>
      <c r="G613" s="5" t="str" cm="1">
        <f t="array" ref="G613">_xlfn.IFS(F613&lt;12,"Child",F613&lt;18,"Teen",F613&lt;25,"Young",F613&lt;40,"Adult",F613&lt;60,"Middle Age",F613&gt;=60,"Old")</f>
        <v>Young</v>
      </c>
      <c r="H613" s="5" t="s">
        <v>2043</v>
      </c>
      <c r="I613" s="5" t="s">
        <v>2051</v>
      </c>
      <c r="J613" s="5" t="s">
        <v>2020</v>
      </c>
      <c r="K613" s="5" t="str">
        <f>VLOOKUP(J613,Sheet2!$A$1:$B$11,2,FALSE)</f>
        <v>Summer Wear</v>
      </c>
      <c r="L613" s="5">
        <v>3</v>
      </c>
      <c r="M613" s="6">
        <v>1128</v>
      </c>
      <c r="N613" s="6">
        <v>3384</v>
      </c>
      <c r="O613" s="7">
        <v>0</v>
      </c>
      <c r="P613" s="8">
        <f t="shared" si="18"/>
        <v>0</v>
      </c>
      <c r="Q613" s="9">
        <f t="shared" si="19"/>
        <v>3384</v>
      </c>
      <c r="R613" s="5">
        <v>67</v>
      </c>
      <c r="S613" s="5" t="s">
        <v>2034</v>
      </c>
      <c r="T613" s="5" t="s">
        <v>2037</v>
      </c>
    </row>
    <row r="614" spans="1:20" x14ac:dyDescent="0.25">
      <c r="A614" s="5" t="s">
        <v>627</v>
      </c>
      <c r="B614" s="10">
        <v>45507</v>
      </c>
      <c r="C614" s="5" t="s">
        <v>1020</v>
      </c>
      <c r="D614" s="11" t="s">
        <v>1630</v>
      </c>
      <c r="E614" s="5" t="s">
        <v>2664</v>
      </c>
      <c r="F614" s="5">
        <v>34</v>
      </c>
      <c r="G614" s="5" t="str" cm="1">
        <f t="array" ref="G614">_xlfn.IFS(F614&lt;12,"Child",F614&lt;18,"Teen",F614&lt;25,"Young",F614&lt;40,"Adult",F614&lt;60,"Middle Age",F614&gt;=60,"Old")</f>
        <v>Adult</v>
      </c>
      <c r="H614" s="5" t="s">
        <v>2043</v>
      </c>
      <c r="I614" s="5" t="s">
        <v>2053</v>
      </c>
      <c r="J614" s="5" t="s">
        <v>2017</v>
      </c>
      <c r="K614" s="5" t="str">
        <f>VLOOKUP(J614,Sheet2!$A$1:$B$11,2,FALSE)</f>
        <v>Casual Wear</v>
      </c>
      <c r="L614" s="5">
        <v>1</v>
      </c>
      <c r="M614" s="6">
        <v>953</v>
      </c>
      <c r="N614" s="6">
        <v>953</v>
      </c>
      <c r="O614" s="7">
        <v>0.15</v>
      </c>
      <c r="P614" s="8">
        <f t="shared" si="18"/>
        <v>142.94999999999999</v>
      </c>
      <c r="Q614" s="9">
        <f t="shared" si="19"/>
        <v>810.05</v>
      </c>
      <c r="R614" s="5">
        <v>16</v>
      </c>
      <c r="S614" s="5" t="s">
        <v>2032</v>
      </c>
      <c r="T614" s="5" t="s">
        <v>2035</v>
      </c>
    </row>
    <row r="615" spans="1:20" x14ac:dyDescent="0.25">
      <c r="A615" s="5" t="s">
        <v>628</v>
      </c>
      <c r="B615" s="10">
        <v>45582</v>
      </c>
      <c r="C615" s="5" t="s">
        <v>1018</v>
      </c>
      <c r="D615" s="11" t="s">
        <v>1631</v>
      </c>
      <c r="E615" s="5" t="s">
        <v>2665</v>
      </c>
      <c r="F615" s="5">
        <v>59</v>
      </c>
      <c r="G615" s="5" t="str" cm="1">
        <f t="array" ref="G615">_xlfn.IFS(F615&lt;12,"Child",F615&lt;18,"Teen",F615&lt;25,"Young",F615&lt;40,"Adult",F615&lt;60,"Middle Age",F615&gt;=60,"Old")</f>
        <v>Middle Age</v>
      </c>
      <c r="H615" s="5" t="s">
        <v>2043</v>
      </c>
      <c r="I615" s="5" t="s">
        <v>2015</v>
      </c>
      <c r="J615" s="5" t="s">
        <v>2024</v>
      </c>
      <c r="K615" s="5" t="str">
        <f>VLOOKUP(J615,Sheet2!$A$1:$B$11,2,FALSE)</f>
        <v>Fashion Accessories</v>
      </c>
      <c r="L615" s="5">
        <v>4</v>
      </c>
      <c r="M615" s="6">
        <v>598</v>
      </c>
      <c r="N615" s="6">
        <v>2392</v>
      </c>
      <c r="O615" s="7">
        <v>0.1</v>
      </c>
      <c r="P615" s="8">
        <f t="shared" si="18"/>
        <v>239.20000000000002</v>
      </c>
      <c r="Q615" s="9">
        <f t="shared" si="19"/>
        <v>2152.8000000000002</v>
      </c>
      <c r="R615" s="5">
        <v>43</v>
      </c>
      <c r="S615" s="5" t="s">
        <v>2032</v>
      </c>
      <c r="T615" s="5" t="s">
        <v>2035</v>
      </c>
    </row>
    <row r="616" spans="1:20" x14ac:dyDescent="0.25">
      <c r="A616" s="5" t="s">
        <v>629</v>
      </c>
      <c r="B616" s="10">
        <v>45596</v>
      </c>
      <c r="C616" s="5" t="s">
        <v>1018</v>
      </c>
      <c r="D616" s="11" t="s">
        <v>1632</v>
      </c>
      <c r="E616" s="5" t="s">
        <v>2666</v>
      </c>
      <c r="F616" s="5">
        <v>28</v>
      </c>
      <c r="G616" s="5" t="str" cm="1">
        <f t="array" ref="G616">_xlfn.IFS(F616&lt;12,"Child",F616&lt;18,"Teen",F616&lt;25,"Young",F616&lt;40,"Adult",F616&lt;60,"Middle Age",F616&gt;=60,"Old")</f>
        <v>Adult</v>
      </c>
      <c r="H616" s="5" t="s">
        <v>2044</v>
      </c>
      <c r="I616" s="5" t="s">
        <v>2045</v>
      </c>
      <c r="J616" s="5" t="s">
        <v>2025</v>
      </c>
      <c r="K616" s="5" t="str">
        <f>VLOOKUP(J616,Sheet2!$A$1:$B$11,2,FALSE)</f>
        <v>Formal Wear</v>
      </c>
      <c r="L616" s="5">
        <v>4</v>
      </c>
      <c r="M616" s="6">
        <v>1104</v>
      </c>
      <c r="N616" s="6">
        <v>4416</v>
      </c>
      <c r="O616" s="7">
        <v>0.15</v>
      </c>
      <c r="P616" s="8">
        <f t="shared" si="18"/>
        <v>662.4</v>
      </c>
      <c r="Q616" s="9">
        <f t="shared" si="19"/>
        <v>3753.6</v>
      </c>
      <c r="R616" s="5">
        <v>75</v>
      </c>
      <c r="S616" s="5" t="s">
        <v>2033</v>
      </c>
      <c r="T616" s="5" t="s">
        <v>2035</v>
      </c>
    </row>
    <row r="617" spans="1:20" x14ac:dyDescent="0.25">
      <c r="A617" s="5" t="s">
        <v>630</v>
      </c>
      <c r="B617" s="10">
        <v>45485</v>
      </c>
      <c r="C617" s="5" t="s">
        <v>1014</v>
      </c>
      <c r="D617" s="11" t="s">
        <v>1633</v>
      </c>
      <c r="E617" s="5" t="s">
        <v>2667</v>
      </c>
      <c r="F617" s="5">
        <v>57</v>
      </c>
      <c r="G617" s="5" t="str" cm="1">
        <f t="array" ref="G617">_xlfn.IFS(F617&lt;12,"Child",F617&lt;18,"Teen",F617&lt;25,"Young",F617&lt;40,"Adult",F617&lt;60,"Middle Age",F617&gt;=60,"Old")</f>
        <v>Middle Age</v>
      </c>
      <c r="H617" s="5" t="s">
        <v>2043</v>
      </c>
      <c r="I617" s="5" t="s">
        <v>2048</v>
      </c>
      <c r="J617" s="5" t="s">
        <v>2018</v>
      </c>
      <c r="K617" s="5" t="str">
        <f>VLOOKUP(J617,Sheet2!$A$1:$B$11,2,FALSE)</f>
        <v>Sportswear</v>
      </c>
      <c r="L617" s="5">
        <v>2</v>
      </c>
      <c r="M617" s="6">
        <v>166</v>
      </c>
      <c r="N617" s="6">
        <v>332</v>
      </c>
      <c r="O617" s="7">
        <v>0.15</v>
      </c>
      <c r="P617" s="8">
        <f t="shared" si="18"/>
        <v>49.8</v>
      </c>
      <c r="Q617" s="9">
        <f t="shared" si="19"/>
        <v>282.2</v>
      </c>
      <c r="R617" s="5">
        <v>5</v>
      </c>
      <c r="S617" s="5" t="s">
        <v>2032</v>
      </c>
      <c r="T617" s="5" t="s">
        <v>2037</v>
      </c>
    </row>
    <row r="618" spans="1:20" x14ac:dyDescent="0.25">
      <c r="A618" s="5" t="s">
        <v>631</v>
      </c>
      <c r="B618" s="10">
        <v>45596</v>
      </c>
      <c r="C618" s="5" t="s">
        <v>1018</v>
      </c>
      <c r="D618" s="11" t="s">
        <v>1634</v>
      </c>
      <c r="E618" s="5" t="s">
        <v>2668</v>
      </c>
      <c r="F618" s="5">
        <v>38</v>
      </c>
      <c r="G618" s="5" t="str" cm="1">
        <f t="array" ref="G618">_xlfn.IFS(F618&lt;12,"Child",F618&lt;18,"Teen",F618&lt;25,"Young",F618&lt;40,"Adult",F618&lt;60,"Middle Age",F618&gt;=60,"Old")</f>
        <v>Adult</v>
      </c>
      <c r="H618" s="5" t="s">
        <v>2043</v>
      </c>
      <c r="I618" s="5" t="s">
        <v>2047</v>
      </c>
      <c r="J618" s="5" t="s">
        <v>2022</v>
      </c>
      <c r="K618" s="5" t="str">
        <f>VLOOKUP(J618,Sheet2!$A$1:$B$11,2,FALSE)</f>
        <v>Sportswear</v>
      </c>
      <c r="L618" s="5">
        <v>2</v>
      </c>
      <c r="M618" s="6">
        <v>1043</v>
      </c>
      <c r="N618" s="6">
        <v>2086</v>
      </c>
      <c r="O618" s="7">
        <v>0.15</v>
      </c>
      <c r="P618" s="8">
        <f t="shared" si="18"/>
        <v>312.89999999999998</v>
      </c>
      <c r="Q618" s="9">
        <f t="shared" si="19"/>
        <v>1773.1</v>
      </c>
      <c r="R618" s="5">
        <v>35</v>
      </c>
      <c r="S618" s="5" t="s">
        <v>2034</v>
      </c>
      <c r="T618" s="5" t="s">
        <v>2035</v>
      </c>
    </row>
    <row r="619" spans="1:20" x14ac:dyDescent="0.25">
      <c r="A619" s="5" t="s">
        <v>632</v>
      </c>
      <c r="B619" s="10">
        <v>45356</v>
      </c>
      <c r="C619" s="5" t="s">
        <v>1019</v>
      </c>
      <c r="D619" s="11" t="s">
        <v>1635</v>
      </c>
      <c r="E619" s="5" t="s">
        <v>2669</v>
      </c>
      <c r="F619" s="5">
        <v>47</v>
      </c>
      <c r="G619" s="5" t="str" cm="1">
        <f t="array" ref="G619">_xlfn.IFS(F619&lt;12,"Child",F619&lt;18,"Teen",F619&lt;25,"Young",F619&lt;40,"Adult",F619&lt;60,"Middle Age",F619&gt;=60,"Old")</f>
        <v>Middle Age</v>
      </c>
      <c r="H619" s="5" t="s">
        <v>2043</v>
      </c>
      <c r="I619" s="5" t="s">
        <v>2046</v>
      </c>
      <c r="J619" s="5" t="s">
        <v>2023</v>
      </c>
      <c r="K619" s="5" t="str">
        <f>VLOOKUP(J619,Sheet2!$A$1:$B$11,2,FALSE)</f>
        <v>Formal Wear</v>
      </c>
      <c r="L619" s="5">
        <v>4</v>
      </c>
      <c r="M619" s="6">
        <v>594</v>
      </c>
      <c r="N619" s="6">
        <v>2376</v>
      </c>
      <c r="O619" s="7">
        <v>0.1</v>
      </c>
      <c r="P619" s="8">
        <f t="shared" si="18"/>
        <v>237.60000000000002</v>
      </c>
      <c r="Q619" s="9">
        <f t="shared" si="19"/>
        <v>2138.4</v>
      </c>
      <c r="R619" s="5">
        <v>42</v>
      </c>
      <c r="S619" s="5" t="s">
        <v>2033</v>
      </c>
      <c r="T619" s="5" t="s">
        <v>2035</v>
      </c>
    </row>
    <row r="620" spans="1:20" x14ac:dyDescent="0.25">
      <c r="A620" s="5" t="s">
        <v>633</v>
      </c>
      <c r="B620" s="10">
        <v>45584</v>
      </c>
      <c r="C620" s="5" t="s">
        <v>1020</v>
      </c>
      <c r="D620" s="11" t="s">
        <v>1636</v>
      </c>
      <c r="E620" s="5" t="s">
        <v>2670</v>
      </c>
      <c r="F620" s="5">
        <v>25</v>
      </c>
      <c r="G620" s="5" t="str" cm="1">
        <f t="array" ref="G620">_xlfn.IFS(F620&lt;12,"Child",F620&lt;18,"Teen",F620&lt;25,"Young",F620&lt;40,"Adult",F620&lt;60,"Middle Age",F620&gt;=60,"Old")</f>
        <v>Adult</v>
      </c>
      <c r="H620" s="5" t="s">
        <v>2044</v>
      </c>
      <c r="I620" s="5" t="s">
        <v>2046</v>
      </c>
      <c r="J620" s="5" t="s">
        <v>2023</v>
      </c>
      <c r="K620" s="5" t="str">
        <f>VLOOKUP(J620,Sheet2!$A$1:$B$11,2,FALSE)</f>
        <v>Formal Wear</v>
      </c>
      <c r="L620" s="5">
        <v>3</v>
      </c>
      <c r="M620" s="6">
        <v>999</v>
      </c>
      <c r="N620" s="6">
        <v>2997</v>
      </c>
      <c r="O620" s="7">
        <v>0.2</v>
      </c>
      <c r="P620" s="8">
        <f t="shared" si="18"/>
        <v>599.4</v>
      </c>
      <c r="Q620" s="9">
        <f t="shared" si="19"/>
        <v>2397.6</v>
      </c>
      <c r="R620" s="5">
        <v>47</v>
      </c>
      <c r="S620" s="5" t="s">
        <v>2034</v>
      </c>
      <c r="T620" s="5" t="s">
        <v>2036</v>
      </c>
    </row>
    <row r="621" spans="1:20" x14ac:dyDescent="0.25">
      <c r="A621" s="5" t="s">
        <v>634</v>
      </c>
      <c r="B621" s="10">
        <v>45635</v>
      </c>
      <c r="C621" s="5" t="s">
        <v>1016</v>
      </c>
      <c r="D621" s="11" t="s">
        <v>1637</v>
      </c>
      <c r="E621" s="5" t="s">
        <v>2671</v>
      </c>
      <c r="F621" s="5">
        <v>48</v>
      </c>
      <c r="G621" s="5" t="str" cm="1">
        <f t="array" ref="G621">_xlfn.IFS(F621&lt;12,"Child",F621&lt;18,"Teen",F621&lt;25,"Young",F621&lt;40,"Adult",F621&lt;60,"Middle Age",F621&gt;=60,"Old")</f>
        <v>Middle Age</v>
      </c>
      <c r="H621" s="5" t="s">
        <v>2043</v>
      </c>
      <c r="I621" s="5" t="s">
        <v>2053</v>
      </c>
      <c r="J621" s="5" t="s">
        <v>2016</v>
      </c>
      <c r="K621" s="5" t="str">
        <f>VLOOKUP(J621,Sheet2!$A$1:$B$11,2,FALSE)</f>
        <v>Winter Wear</v>
      </c>
      <c r="L621" s="5">
        <v>2</v>
      </c>
      <c r="M621" s="6">
        <v>713</v>
      </c>
      <c r="N621" s="6">
        <v>1426</v>
      </c>
      <c r="O621" s="7">
        <v>0.05</v>
      </c>
      <c r="P621" s="8">
        <f t="shared" si="18"/>
        <v>71.3</v>
      </c>
      <c r="Q621" s="9">
        <f t="shared" si="19"/>
        <v>1354.7</v>
      </c>
      <c r="R621" s="5">
        <v>27</v>
      </c>
      <c r="S621" s="5" t="s">
        <v>2032</v>
      </c>
      <c r="T621" s="5" t="s">
        <v>2037</v>
      </c>
    </row>
    <row r="622" spans="1:20" x14ac:dyDescent="0.25">
      <c r="A622" s="5" t="s">
        <v>635</v>
      </c>
      <c r="B622" s="10">
        <v>45662</v>
      </c>
      <c r="C622" s="5" t="s">
        <v>1015</v>
      </c>
      <c r="D622" s="11" t="s">
        <v>1638</v>
      </c>
      <c r="E622" s="5" t="s">
        <v>2672</v>
      </c>
      <c r="F622" s="5">
        <v>32</v>
      </c>
      <c r="G622" s="5" t="str" cm="1">
        <f t="array" ref="G622">_xlfn.IFS(F622&lt;12,"Child",F622&lt;18,"Teen",F622&lt;25,"Young",F622&lt;40,"Adult",F622&lt;60,"Middle Age",F622&gt;=60,"Old")</f>
        <v>Adult</v>
      </c>
      <c r="H622" s="5" t="s">
        <v>2043</v>
      </c>
      <c r="I622" s="5" t="s">
        <v>2053</v>
      </c>
      <c r="J622" s="5" t="s">
        <v>2017</v>
      </c>
      <c r="K622" s="5" t="str">
        <f>VLOOKUP(J622,Sheet2!$A$1:$B$11,2,FALSE)</f>
        <v>Casual Wear</v>
      </c>
      <c r="L622" s="5">
        <v>4</v>
      </c>
      <c r="M622" s="6">
        <v>565</v>
      </c>
      <c r="N622" s="6">
        <v>2260</v>
      </c>
      <c r="O622" s="7">
        <v>0.2</v>
      </c>
      <c r="P622" s="8">
        <f t="shared" si="18"/>
        <v>452</v>
      </c>
      <c r="Q622" s="9">
        <f t="shared" si="19"/>
        <v>1808</v>
      </c>
      <c r="R622" s="5">
        <v>36</v>
      </c>
      <c r="S622" s="5" t="s">
        <v>2033</v>
      </c>
      <c r="T622" s="5" t="s">
        <v>2036</v>
      </c>
    </row>
    <row r="623" spans="1:20" x14ac:dyDescent="0.25">
      <c r="A623" s="5" t="s">
        <v>636</v>
      </c>
      <c r="B623" s="10">
        <v>45586</v>
      </c>
      <c r="C623" s="5" t="s">
        <v>1016</v>
      </c>
      <c r="D623" s="11" t="s">
        <v>1639</v>
      </c>
      <c r="E623" s="5" t="s">
        <v>2673</v>
      </c>
      <c r="F623" s="5">
        <v>37</v>
      </c>
      <c r="G623" s="5" t="str" cm="1">
        <f t="array" ref="G623">_xlfn.IFS(F623&lt;12,"Child",F623&lt;18,"Teen",F623&lt;25,"Young",F623&lt;40,"Adult",F623&lt;60,"Middle Age",F623&gt;=60,"Old")</f>
        <v>Adult</v>
      </c>
      <c r="H623" s="5" t="s">
        <v>2044</v>
      </c>
      <c r="I623" s="5" t="s">
        <v>2053</v>
      </c>
      <c r="J623" s="5" t="s">
        <v>2021</v>
      </c>
      <c r="K623" s="5" t="str">
        <f>VLOOKUP(J623,Sheet2!$A$1:$B$11,2,FALSE)</f>
        <v>Casual Wear</v>
      </c>
      <c r="L623" s="5">
        <v>2</v>
      </c>
      <c r="M623" s="6">
        <v>1111</v>
      </c>
      <c r="N623" s="6">
        <v>2222</v>
      </c>
      <c r="O623" s="7">
        <v>0.15</v>
      </c>
      <c r="P623" s="8">
        <f t="shared" si="18"/>
        <v>333.3</v>
      </c>
      <c r="Q623" s="9">
        <f t="shared" si="19"/>
        <v>1888.7</v>
      </c>
      <c r="R623" s="5">
        <v>37</v>
      </c>
      <c r="S623" s="5" t="s">
        <v>2033</v>
      </c>
      <c r="T623" s="5" t="s">
        <v>2037</v>
      </c>
    </row>
    <row r="624" spans="1:20" x14ac:dyDescent="0.25">
      <c r="A624" s="5" t="s">
        <v>637</v>
      </c>
      <c r="B624" s="10">
        <v>45362</v>
      </c>
      <c r="C624" s="5" t="s">
        <v>1016</v>
      </c>
      <c r="D624" s="11" t="s">
        <v>1640</v>
      </c>
      <c r="E624" s="5" t="s">
        <v>2674</v>
      </c>
      <c r="F624" s="5">
        <v>25</v>
      </c>
      <c r="G624" s="5" t="str" cm="1">
        <f t="array" ref="G624">_xlfn.IFS(F624&lt;12,"Child",F624&lt;18,"Teen",F624&lt;25,"Young",F624&lt;40,"Adult",F624&lt;60,"Middle Age",F624&gt;=60,"Old")</f>
        <v>Adult</v>
      </c>
      <c r="H624" s="5" t="s">
        <v>2043</v>
      </c>
      <c r="I624" s="5" t="s">
        <v>2052</v>
      </c>
      <c r="J624" s="5" t="s">
        <v>2022</v>
      </c>
      <c r="K624" s="5" t="str">
        <f>VLOOKUP(J624,Sheet2!$A$1:$B$11,2,FALSE)</f>
        <v>Sportswear</v>
      </c>
      <c r="L624" s="5">
        <v>1</v>
      </c>
      <c r="M624" s="6">
        <v>201</v>
      </c>
      <c r="N624" s="6">
        <v>201</v>
      </c>
      <c r="O624" s="7">
        <v>0.05</v>
      </c>
      <c r="P624" s="8">
        <f t="shared" si="18"/>
        <v>10.050000000000001</v>
      </c>
      <c r="Q624" s="9">
        <f t="shared" si="19"/>
        <v>190.95</v>
      </c>
      <c r="R624" s="5">
        <v>3</v>
      </c>
      <c r="S624" s="5" t="s">
        <v>2034</v>
      </c>
      <c r="T624" s="5" t="s">
        <v>2037</v>
      </c>
    </row>
    <row r="625" spans="1:20" x14ac:dyDescent="0.25">
      <c r="A625" s="5" t="s">
        <v>638</v>
      </c>
      <c r="B625" s="10">
        <v>45433</v>
      </c>
      <c r="C625" s="5" t="s">
        <v>1019</v>
      </c>
      <c r="D625" s="11" t="s">
        <v>1641</v>
      </c>
      <c r="E625" s="5" t="s">
        <v>2675</v>
      </c>
      <c r="F625" s="5">
        <v>43</v>
      </c>
      <c r="G625" s="5" t="str" cm="1">
        <f t="array" ref="G625">_xlfn.IFS(F625&lt;12,"Child",F625&lt;18,"Teen",F625&lt;25,"Young",F625&lt;40,"Adult",F625&lt;60,"Middle Age",F625&gt;=60,"Old")</f>
        <v>Middle Age</v>
      </c>
      <c r="H625" s="5" t="s">
        <v>2043</v>
      </c>
      <c r="I625" s="5" t="s">
        <v>2052</v>
      </c>
      <c r="J625" s="5" t="s">
        <v>2022</v>
      </c>
      <c r="K625" s="5" t="str">
        <f>VLOOKUP(J625,Sheet2!$A$1:$B$11,2,FALSE)</f>
        <v>Sportswear</v>
      </c>
      <c r="L625" s="5">
        <v>2</v>
      </c>
      <c r="M625" s="6">
        <v>197</v>
      </c>
      <c r="N625" s="6">
        <v>394</v>
      </c>
      <c r="O625" s="7">
        <v>0.1</v>
      </c>
      <c r="P625" s="8">
        <f t="shared" si="18"/>
        <v>39.400000000000006</v>
      </c>
      <c r="Q625" s="9">
        <f t="shared" si="19"/>
        <v>354.6</v>
      </c>
      <c r="R625" s="5">
        <v>7</v>
      </c>
      <c r="S625" s="5" t="s">
        <v>2032</v>
      </c>
      <c r="T625" s="5" t="s">
        <v>2036</v>
      </c>
    </row>
    <row r="626" spans="1:20" x14ac:dyDescent="0.25">
      <c r="A626" s="5" t="s">
        <v>639</v>
      </c>
      <c r="B626" s="10">
        <v>45701</v>
      </c>
      <c r="C626" s="5" t="s">
        <v>1018</v>
      </c>
      <c r="D626" s="11" t="s">
        <v>1642</v>
      </c>
      <c r="E626" s="5" t="s">
        <v>2676</v>
      </c>
      <c r="F626" s="5">
        <v>40</v>
      </c>
      <c r="G626" s="5" t="str" cm="1">
        <f t="array" ref="G626">_xlfn.IFS(F626&lt;12,"Child",F626&lt;18,"Teen",F626&lt;25,"Young",F626&lt;40,"Adult",F626&lt;60,"Middle Age",F626&gt;=60,"Old")</f>
        <v>Middle Age</v>
      </c>
      <c r="H626" s="5" t="s">
        <v>2044</v>
      </c>
      <c r="I626" s="5" t="s">
        <v>2050</v>
      </c>
      <c r="J626" s="5" t="s">
        <v>2019</v>
      </c>
      <c r="K626" s="5" t="str">
        <f>VLOOKUP(J626,Sheet2!$A$1:$B$11,2,FALSE)</f>
        <v>Formal Wear</v>
      </c>
      <c r="L626" s="5">
        <v>1</v>
      </c>
      <c r="M626" s="6">
        <v>233</v>
      </c>
      <c r="N626" s="6">
        <v>233</v>
      </c>
      <c r="O626" s="7">
        <v>0</v>
      </c>
      <c r="P626" s="8">
        <f t="shared" si="18"/>
        <v>0</v>
      </c>
      <c r="Q626" s="9">
        <f t="shared" si="19"/>
        <v>233</v>
      </c>
      <c r="R626" s="5">
        <v>4</v>
      </c>
      <c r="S626" s="5" t="s">
        <v>2034</v>
      </c>
      <c r="T626" s="5" t="s">
        <v>2035</v>
      </c>
    </row>
    <row r="627" spans="1:20" x14ac:dyDescent="0.25">
      <c r="A627" s="5" t="s">
        <v>640</v>
      </c>
      <c r="B627" s="10">
        <v>45381</v>
      </c>
      <c r="C627" s="5" t="s">
        <v>1020</v>
      </c>
      <c r="D627" s="11" t="s">
        <v>1643</v>
      </c>
      <c r="E627" s="5" t="s">
        <v>2677</v>
      </c>
      <c r="F627" s="5">
        <v>42</v>
      </c>
      <c r="G627" s="5" t="str" cm="1">
        <f t="array" ref="G627">_xlfn.IFS(F627&lt;12,"Child",F627&lt;18,"Teen",F627&lt;25,"Young",F627&lt;40,"Adult",F627&lt;60,"Middle Age",F627&gt;=60,"Old")</f>
        <v>Middle Age</v>
      </c>
      <c r="H627" s="5" t="s">
        <v>2043</v>
      </c>
      <c r="I627" s="5" t="s">
        <v>2015</v>
      </c>
      <c r="J627" s="5" t="s">
        <v>2024</v>
      </c>
      <c r="K627" s="5" t="str">
        <f>VLOOKUP(J627,Sheet2!$A$1:$B$11,2,FALSE)</f>
        <v>Fashion Accessories</v>
      </c>
      <c r="L627" s="5">
        <v>2</v>
      </c>
      <c r="M627" s="6">
        <v>687</v>
      </c>
      <c r="N627" s="6">
        <v>1374</v>
      </c>
      <c r="O627" s="7">
        <v>0.1</v>
      </c>
      <c r="P627" s="8">
        <f t="shared" si="18"/>
        <v>137.4</v>
      </c>
      <c r="Q627" s="9">
        <f t="shared" si="19"/>
        <v>1236.5999999999999</v>
      </c>
      <c r="R627" s="5">
        <v>24</v>
      </c>
      <c r="S627" s="5" t="s">
        <v>2032</v>
      </c>
      <c r="T627" s="5" t="s">
        <v>2037</v>
      </c>
    </row>
    <row r="628" spans="1:20" x14ac:dyDescent="0.25">
      <c r="A628" s="5" t="s">
        <v>641</v>
      </c>
      <c r="B628" s="10">
        <v>45593</v>
      </c>
      <c r="C628" s="5" t="s">
        <v>1016</v>
      </c>
      <c r="D628" s="11" t="s">
        <v>1644</v>
      </c>
      <c r="E628" s="5" t="s">
        <v>2678</v>
      </c>
      <c r="F628" s="5">
        <v>54</v>
      </c>
      <c r="G628" s="5" t="str" cm="1">
        <f t="array" ref="G628">_xlfn.IFS(F628&lt;12,"Child",F628&lt;18,"Teen",F628&lt;25,"Young",F628&lt;40,"Adult",F628&lt;60,"Middle Age",F628&gt;=60,"Old")</f>
        <v>Middle Age</v>
      </c>
      <c r="H628" s="5" t="s">
        <v>2044</v>
      </c>
      <c r="I628" s="5" t="s">
        <v>2049</v>
      </c>
      <c r="J628" s="5" t="s">
        <v>2022</v>
      </c>
      <c r="K628" s="5" t="str">
        <f>VLOOKUP(J628,Sheet2!$A$1:$B$11,2,FALSE)</f>
        <v>Sportswear</v>
      </c>
      <c r="L628" s="5">
        <v>1</v>
      </c>
      <c r="M628" s="6">
        <v>1103</v>
      </c>
      <c r="N628" s="6">
        <v>1103</v>
      </c>
      <c r="O628" s="7">
        <v>0</v>
      </c>
      <c r="P628" s="8">
        <f t="shared" si="18"/>
        <v>0</v>
      </c>
      <c r="Q628" s="9">
        <f t="shared" si="19"/>
        <v>1103</v>
      </c>
      <c r="R628" s="5">
        <v>22</v>
      </c>
      <c r="S628" s="5" t="s">
        <v>2032</v>
      </c>
      <c r="T628" s="5" t="s">
        <v>2037</v>
      </c>
    </row>
    <row r="629" spans="1:20" x14ac:dyDescent="0.25">
      <c r="A629" s="5" t="s">
        <v>642</v>
      </c>
      <c r="B629" s="10">
        <v>45653</v>
      </c>
      <c r="C629" s="5" t="s">
        <v>1014</v>
      </c>
      <c r="D629" s="11" t="s">
        <v>1645</v>
      </c>
      <c r="E629" s="5" t="s">
        <v>2679</v>
      </c>
      <c r="F629" s="5">
        <v>50</v>
      </c>
      <c r="G629" s="5" t="str" cm="1">
        <f t="array" ref="G629">_xlfn.IFS(F629&lt;12,"Child",F629&lt;18,"Teen",F629&lt;25,"Young",F629&lt;40,"Adult",F629&lt;60,"Middle Age",F629&gt;=60,"Old")</f>
        <v>Middle Age</v>
      </c>
      <c r="H629" s="5" t="s">
        <v>2043</v>
      </c>
      <c r="I629" s="5" t="s">
        <v>2047</v>
      </c>
      <c r="J629" s="5" t="s">
        <v>2018</v>
      </c>
      <c r="K629" s="5" t="str">
        <f>VLOOKUP(J629,Sheet2!$A$1:$B$11,2,FALSE)</f>
        <v>Sportswear</v>
      </c>
      <c r="L629" s="5">
        <v>3</v>
      </c>
      <c r="M629" s="6">
        <v>587</v>
      </c>
      <c r="N629" s="6">
        <v>1761</v>
      </c>
      <c r="O629" s="7">
        <v>0.2</v>
      </c>
      <c r="P629" s="8">
        <f t="shared" si="18"/>
        <v>352.20000000000005</v>
      </c>
      <c r="Q629" s="9">
        <f t="shared" si="19"/>
        <v>1408.8</v>
      </c>
      <c r="R629" s="5">
        <v>28</v>
      </c>
      <c r="S629" s="5" t="s">
        <v>2032</v>
      </c>
      <c r="T629" s="5" t="s">
        <v>2036</v>
      </c>
    </row>
    <row r="630" spans="1:20" x14ac:dyDescent="0.25">
      <c r="A630" s="5" t="s">
        <v>643</v>
      </c>
      <c r="B630" s="10">
        <v>45420</v>
      </c>
      <c r="C630" s="5" t="s">
        <v>1017</v>
      </c>
      <c r="D630" s="11" t="s">
        <v>1646</v>
      </c>
      <c r="E630" s="5" t="s">
        <v>2680</v>
      </c>
      <c r="F630" s="5">
        <v>57</v>
      </c>
      <c r="G630" s="5" t="str" cm="1">
        <f t="array" ref="G630">_xlfn.IFS(F630&lt;12,"Child",F630&lt;18,"Teen",F630&lt;25,"Young",F630&lt;40,"Adult",F630&lt;60,"Middle Age",F630&gt;=60,"Old")</f>
        <v>Middle Age</v>
      </c>
      <c r="H630" s="5" t="s">
        <v>2044</v>
      </c>
      <c r="I630" s="5" t="s">
        <v>2046</v>
      </c>
      <c r="J630" s="5" t="s">
        <v>2024</v>
      </c>
      <c r="K630" s="5" t="str">
        <f>VLOOKUP(J630,Sheet2!$A$1:$B$11,2,FALSE)</f>
        <v>Fashion Accessories</v>
      </c>
      <c r="L630" s="5">
        <v>5</v>
      </c>
      <c r="M630" s="6">
        <v>470</v>
      </c>
      <c r="N630" s="6">
        <v>2350</v>
      </c>
      <c r="O630" s="7">
        <v>0.1</v>
      </c>
      <c r="P630" s="8">
        <f t="shared" si="18"/>
        <v>235</v>
      </c>
      <c r="Q630" s="9">
        <f t="shared" si="19"/>
        <v>2115</v>
      </c>
      <c r="R630" s="5">
        <v>42</v>
      </c>
      <c r="S630" s="5" t="s">
        <v>2034</v>
      </c>
      <c r="T630" s="5" t="s">
        <v>2036</v>
      </c>
    </row>
    <row r="631" spans="1:20" x14ac:dyDescent="0.25">
      <c r="A631" s="5" t="s">
        <v>644</v>
      </c>
      <c r="B631" s="10">
        <v>45613</v>
      </c>
      <c r="C631" s="5" t="s">
        <v>1015</v>
      </c>
      <c r="D631" s="11" t="s">
        <v>1647</v>
      </c>
      <c r="E631" s="5" t="s">
        <v>2681</v>
      </c>
      <c r="F631" s="5">
        <v>57</v>
      </c>
      <c r="G631" s="5" t="str" cm="1">
        <f t="array" ref="G631">_xlfn.IFS(F631&lt;12,"Child",F631&lt;18,"Teen",F631&lt;25,"Young",F631&lt;40,"Adult",F631&lt;60,"Middle Age",F631&gt;=60,"Old")</f>
        <v>Middle Age</v>
      </c>
      <c r="H631" s="5" t="s">
        <v>2044</v>
      </c>
      <c r="I631" s="5" t="s">
        <v>2049</v>
      </c>
      <c r="J631" s="5" t="s">
        <v>2020</v>
      </c>
      <c r="K631" s="5" t="str">
        <f>VLOOKUP(J631,Sheet2!$A$1:$B$11,2,FALSE)</f>
        <v>Summer Wear</v>
      </c>
      <c r="L631" s="5">
        <v>3</v>
      </c>
      <c r="M631" s="6">
        <v>1196</v>
      </c>
      <c r="N631" s="6">
        <v>3588</v>
      </c>
      <c r="O631" s="7">
        <v>0.2</v>
      </c>
      <c r="P631" s="8">
        <f t="shared" si="18"/>
        <v>717.6</v>
      </c>
      <c r="Q631" s="9">
        <f t="shared" si="19"/>
        <v>2870.4</v>
      </c>
      <c r="R631" s="5">
        <v>57</v>
      </c>
      <c r="S631" s="5" t="s">
        <v>2034</v>
      </c>
      <c r="T631" s="5" t="s">
        <v>2035</v>
      </c>
    </row>
    <row r="632" spans="1:20" x14ac:dyDescent="0.25">
      <c r="A632" s="5" t="s">
        <v>645</v>
      </c>
      <c r="B632" s="10">
        <v>45573</v>
      </c>
      <c r="C632" s="5" t="s">
        <v>1019</v>
      </c>
      <c r="D632" s="11" t="s">
        <v>1648</v>
      </c>
      <c r="E632" s="5" t="s">
        <v>2682</v>
      </c>
      <c r="F632" s="5">
        <v>30</v>
      </c>
      <c r="G632" s="5" t="str" cm="1">
        <f t="array" ref="G632">_xlfn.IFS(F632&lt;12,"Child",F632&lt;18,"Teen",F632&lt;25,"Young",F632&lt;40,"Adult",F632&lt;60,"Middle Age",F632&gt;=60,"Old")</f>
        <v>Adult</v>
      </c>
      <c r="H632" s="5" t="s">
        <v>2044</v>
      </c>
      <c r="I632" s="5" t="s">
        <v>2050</v>
      </c>
      <c r="J632" s="5" t="s">
        <v>2017</v>
      </c>
      <c r="K632" s="5" t="str">
        <f>VLOOKUP(J632,Sheet2!$A$1:$B$11,2,FALSE)</f>
        <v>Casual Wear</v>
      </c>
      <c r="L632" s="5">
        <v>1</v>
      </c>
      <c r="M632" s="6">
        <v>684</v>
      </c>
      <c r="N632" s="6">
        <v>684</v>
      </c>
      <c r="O632" s="7">
        <v>0.15</v>
      </c>
      <c r="P632" s="8">
        <f t="shared" si="18"/>
        <v>102.6</v>
      </c>
      <c r="Q632" s="9">
        <f t="shared" si="19"/>
        <v>581.4</v>
      </c>
      <c r="R632" s="5">
        <v>11</v>
      </c>
      <c r="S632" s="5" t="s">
        <v>2034</v>
      </c>
      <c r="T632" s="5" t="s">
        <v>2037</v>
      </c>
    </row>
    <row r="633" spans="1:20" x14ac:dyDescent="0.25">
      <c r="A633" s="5" t="s">
        <v>646</v>
      </c>
      <c r="B633" s="10">
        <v>45621</v>
      </c>
      <c r="C633" s="5" t="s">
        <v>1016</v>
      </c>
      <c r="D633" s="11" t="s">
        <v>1649</v>
      </c>
      <c r="E633" s="5" t="s">
        <v>2311</v>
      </c>
      <c r="F633" s="5">
        <v>54</v>
      </c>
      <c r="G633" s="5" t="str" cm="1">
        <f t="array" ref="G633">_xlfn.IFS(F633&lt;12,"Child",F633&lt;18,"Teen",F633&lt;25,"Young",F633&lt;40,"Adult",F633&lt;60,"Middle Age",F633&gt;=60,"Old")</f>
        <v>Middle Age</v>
      </c>
      <c r="H633" s="5" t="s">
        <v>2043</v>
      </c>
      <c r="I633" s="5" t="s">
        <v>2051</v>
      </c>
      <c r="J633" s="5" t="s">
        <v>2021</v>
      </c>
      <c r="K633" s="5" t="str">
        <f>VLOOKUP(J633,Sheet2!$A$1:$B$11,2,FALSE)</f>
        <v>Casual Wear</v>
      </c>
      <c r="L633" s="5">
        <v>3</v>
      </c>
      <c r="M633" s="6">
        <v>215</v>
      </c>
      <c r="N633" s="6">
        <v>645</v>
      </c>
      <c r="O633" s="7">
        <v>0</v>
      </c>
      <c r="P633" s="8">
        <f t="shared" si="18"/>
        <v>0</v>
      </c>
      <c r="Q633" s="9">
        <f t="shared" si="19"/>
        <v>645</v>
      </c>
      <c r="R633" s="5">
        <v>12</v>
      </c>
      <c r="S633" s="5" t="s">
        <v>2032</v>
      </c>
      <c r="T633" s="5" t="s">
        <v>2036</v>
      </c>
    </row>
    <row r="634" spans="1:20" x14ac:dyDescent="0.25">
      <c r="A634" s="5" t="s">
        <v>647</v>
      </c>
      <c r="B634" s="10">
        <v>45576</v>
      </c>
      <c r="C634" s="5" t="s">
        <v>1014</v>
      </c>
      <c r="D634" s="11" t="s">
        <v>1650</v>
      </c>
      <c r="E634" s="5" t="s">
        <v>2683</v>
      </c>
      <c r="F634" s="5">
        <v>51</v>
      </c>
      <c r="G634" s="5" t="str" cm="1">
        <f t="array" ref="G634">_xlfn.IFS(F634&lt;12,"Child",F634&lt;18,"Teen",F634&lt;25,"Young",F634&lt;40,"Adult",F634&lt;60,"Middle Age",F634&gt;=60,"Old")</f>
        <v>Middle Age</v>
      </c>
      <c r="H634" s="5" t="s">
        <v>2044</v>
      </c>
      <c r="I634" s="5" t="s">
        <v>2048</v>
      </c>
      <c r="J634" s="5" t="s">
        <v>2022</v>
      </c>
      <c r="K634" s="5" t="str">
        <f>VLOOKUP(J634,Sheet2!$A$1:$B$11,2,FALSE)</f>
        <v>Sportswear</v>
      </c>
      <c r="L634" s="5">
        <v>4</v>
      </c>
      <c r="M634" s="6">
        <v>939</v>
      </c>
      <c r="N634" s="6">
        <v>3756</v>
      </c>
      <c r="O634" s="7">
        <v>0.1</v>
      </c>
      <c r="P634" s="8">
        <f t="shared" si="18"/>
        <v>375.6</v>
      </c>
      <c r="Q634" s="9">
        <f t="shared" si="19"/>
        <v>3380.4</v>
      </c>
      <c r="R634" s="5">
        <v>67</v>
      </c>
      <c r="S634" s="5" t="s">
        <v>2034</v>
      </c>
      <c r="T634" s="5" t="s">
        <v>2036</v>
      </c>
    </row>
    <row r="635" spans="1:20" x14ac:dyDescent="0.25">
      <c r="A635" s="5" t="s">
        <v>648</v>
      </c>
      <c r="B635" s="10">
        <v>45450</v>
      </c>
      <c r="C635" s="5" t="s">
        <v>1014</v>
      </c>
      <c r="D635" s="11" t="s">
        <v>1651</v>
      </c>
      <c r="E635" s="5" t="s">
        <v>2684</v>
      </c>
      <c r="F635" s="5">
        <v>57</v>
      </c>
      <c r="G635" s="5" t="str" cm="1">
        <f t="array" ref="G635">_xlfn.IFS(F635&lt;12,"Child",F635&lt;18,"Teen",F635&lt;25,"Young",F635&lt;40,"Adult",F635&lt;60,"Middle Age",F635&gt;=60,"Old")</f>
        <v>Middle Age</v>
      </c>
      <c r="H635" s="5" t="s">
        <v>2043</v>
      </c>
      <c r="I635" s="5" t="s">
        <v>2046</v>
      </c>
      <c r="J635" s="5" t="s">
        <v>2022</v>
      </c>
      <c r="K635" s="5" t="str">
        <f>VLOOKUP(J635,Sheet2!$A$1:$B$11,2,FALSE)</f>
        <v>Sportswear</v>
      </c>
      <c r="L635" s="5">
        <v>1</v>
      </c>
      <c r="M635" s="6">
        <v>324</v>
      </c>
      <c r="N635" s="6">
        <v>324</v>
      </c>
      <c r="O635" s="7">
        <v>0.15</v>
      </c>
      <c r="P635" s="8">
        <f t="shared" si="18"/>
        <v>48.6</v>
      </c>
      <c r="Q635" s="9">
        <f t="shared" si="19"/>
        <v>275.39999999999998</v>
      </c>
      <c r="R635" s="5">
        <v>5</v>
      </c>
      <c r="S635" s="5" t="s">
        <v>2034</v>
      </c>
      <c r="T635" s="5" t="s">
        <v>2035</v>
      </c>
    </row>
    <row r="636" spans="1:20" x14ac:dyDescent="0.25">
      <c r="A636" s="5" t="s">
        <v>649</v>
      </c>
      <c r="B636" s="10">
        <v>45637</v>
      </c>
      <c r="C636" s="5" t="s">
        <v>1017</v>
      </c>
      <c r="D636" s="11" t="s">
        <v>1652</v>
      </c>
      <c r="E636" s="5" t="s">
        <v>2685</v>
      </c>
      <c r="F636" s="5">
        <v>37</v>
      </c>
      <c r="G636" s="5" t="str" cm="1">
        <f t="array" ref="G636">_xlfn.IFS(F636&lt;12,"Child",F636&lt;18,"Teen",F636&lt;25,"Young",F636&lt;40,"Adult",F636&lt;60,"Middle Age",F636&gt;=60,"Old")</f>
        <v>Adult</v>
      </c>
      <c r="H636" s="5" t="s">
        <v>2044</v>
      </c>
      <c r="I636" s="5" t="s">
        <v>2045</v>
      </c>
      <c r="J636" s="5" t="s">
        <v>2021</v>
      </c>
      <c r="K636" s="5" t="str">
        <f>VLOOKUP(J636,Sheet2!$A$1:$B$11,2,FALSE)</f>
        <v>Casual Wear</v>
      </c>
      <c r="L636" s="5">
        <v>1</v>
      </c>
      <c r="M636" s="6">
        <v>996</v>
      </c>
      <c r="N636" s="6">
        <v>996</v>
      </c>
      <c r="O636" s="7">
        <v>0.15</v>
      </c>
      <c r="P636" s="8">
        <f t="shared" si="18"/>
        <v>149.4</v>
      </c>
      <c r="Q636" s="9">
        <f t="shared" si="19"/>
        <v>846.6</v>
      </c>
      <c r="R636" s="5">
        <v>16</v>
      </c>
      <c r="S636" s="5" t="s">
        <v>2033</v>
      </c>
      <c r="T636" s="5" t="s">
        <v>2037</v>
      </c>
    </row>
    <row r="637" spans="1:20" x14ac:dyDescent="0.25">
      <c r="A637" s="5" t="s">
        <v>650</v>
      </c>
      <c r="B637" s="10">
        <v>45667</v>
      </c>
      <c r="C637" s="5" t="s">
        <v>1014</v>
      </c>
      <c r="D637" s="11" t="s">
        <v>1653</v>
      </c>
      <c r="E637" s="5" t="s">
        <v>2686</v>
      </c>
      <c r="F637" s="5">
        <v>41</v>
      </c>
      <c r="G637" s="5" t="str" cm="1">
        <f t="array" ref="G637">_xlfn.IFS(F637&lt;12,"Child",F637&lt;18,"Teen",F637&lt;25,"Young",F637&lt;40,"Adult",F637&lt;60,"Middle Age",F637&gt;=60,"Old")</f>
        <v>Middle Age</v>
      </c>
      <c r="H637" s="5" t="s">
        <v>2043</v>
      </c>
      <c r="I637" s="5" t="s">
        <v>2052</v>
      </c>
      <c r="J637" s="5" t="s">
        <v>2018</v>
      </c>
      <c r="K637" s="5" t="str">
        <f>VLOOKUP(J637,Sheet2!$A$1:$B$11,2,FALSE)</f>
        <v>Sportswear</v>
      </c>
      <c r="L637" s="5">
        <v>4</v>
      </c>
      <c r="M637" s="6">
        <v>884</v>
      </c>
      <c r="N637" s="6">
        <v>3536</v>
      </c>
      <c r="O637" s="7">
        <v>0</v>
      </c>
      <c r="P637" s="8">
        <f t="shared" si="18"/>
        <v>0</v>
      </c>
      <c r="Q637" s="9">
        <f t="shared" si="19"/>
        <v>3536</v>
      </c>
      <c r="R637" s="5">
        <v>70</v>
      </c>
      <c r="S637" s="5" t="s">
        <v>2033</v>
      </c>
      <c r="T637" s="5" t="s">
        <v>2035</v>
      </c>
    </row>
    <row r="638" spans="1:20" x14ac:dyDescent="0.25">
      <c r="A638" s="5" t="s">
        <v>651</v>
      </c>
      <c r="B638" s="10">
        <v>45565</v>
      </c>
      <c r="C638" s="5" t="s">
        <v>1016</v>
      </c>
      <c r="D638" s="11" t="s">
        <v>1654</v>
      </c>
      <c r="E638" s="5" t="s">
        <v>2687</v>
      </c>
      <c r="F638" s="5">
        <v>27</v>
      </c>
      <c r="G638" s="5" t="str" cm="1">
        <f t="array" ref="G638">_xlfn.IFS(F638&lt;12,"Child",F638&lt;18,"Teen",F638&lt;25,"Young",F638&lt;40,"Adult",F638&lt;60,"Middle Age",F638&gt;=60,"Old")</f>
        <v>Adult</v>
      </c>
      <c r="H638" s="5" t="s">
        <v>2044</v>
      </c>
      <c r="I638" s="5" t="s">
        <v>2048</v>
      </c>
      <c r="J638" s="5" t="s">
        <v>2025</v>
      </c>
      <c r="K638" s="5" t="str">
        <f>VLOOKUP(J638,Sheet2!$A$1:$B$11,2,FALSE)</f>
        <v>Formal Wear</v>
      </c>
      <c r="L638" s="5">
        <v>4</v>
      </c>
      <c r="M638" s="6">
        <v>1184</v>
      </c>
      <c r="N638" s="6">
        <v>4736</v>
      </c>
      <c r="O638" s="7">
        <v>0</v>
      </c>
      <c r="P638" s="8">
        <f t="shared" si="18"/>
        <v>0</v>
      </c>
      <c r="Q638" s="9">
        <f t="shared" si="19"/>
        <v>4736</v>
      </c>
      <c r="R638" s="5">
        <v>94</v>
      </c>
      <c r="S638" s="5" t="s">
        <v>2033</v>
      </c>
      <c r="T638" s="5" t="s">
        <v>2036</v>
      </c>
    </row>
    <row r="639" spans="1:20" x14ac:dyDescent="0.25">
      <c r="A639" s="5" t="s">
        <v>652</v>
      </c>
      <c r="B639" s="10">
        <v>45390</v>
      </c>
      <c r="C639" s="5" t="s">
        <v>1016</v>
      </c>
      <c r="D639" s="11" t="s">
        <v>1655</v>
      </c>
      <c r="E639" s="5" t="s">
        <v>2688</v>
      </c>
      <c r="F639" s="5">
        <v>33</v>
      </c>
      <c r="G639" s="5" t="str" cm="1">
        <f t="array" ref="G639">_xlfn.IFS(F639&lt;12,"Child",F639&lt;18,"Teen",F639&lt;25,"Young",F639&lt;40,"Adult",F639&lt;60,"Middle Age",F639&gt;=60,"Old")</f>
        <v>Adult</v>
      </c>
      <c r="H639" s="5" t="s">
        <v>2044</v>
      </c>
      <c r="I639" s="5" t="s">
        <v>2015</v>
      </c>
      <c r="J639" s="5" t="s">
        <v>2024</v>
      </c>
      <c r="K639" s="5" t="str">
        <f>VLOOKUP(J639,Sheet2!$A$1:$B$11,2,FALSE)</f>
        <v>Fashion Accessories</v>
      </c>
      <c r="L639" s="5">
        <v>2</v>
      </c>
      <c r="M639" s="6">
        <v>801</v>
      </c>
      <c r="N639" s="6">
        <v>1602</v>
      </c>
      <c r="O639" s="7">
        <v>0.1</v>
      </c>
      <c r="P639" s="8">
        <f t="shared" si="18"/>
        <v>160.20000000000002</v>
      </c>
      <c r="Q639" s="9">
        <f t="shared" si="19"/>
        <v>1441.8</v>
      </c>
      <c r="R639" s="5">
        <v>28</v>
      </c>
      <c r="S639" s="5" t="s">
        <v>2032</v>
      </c>
      <c r="T639" s="5" t="s">
        <v>2035</v>
      </c>
    </row>
    <row r="640" spans="1:20" x14ac:dyDescent="0.25">
      <c r="A640" s="5" t="s">
        <v>653</v>
      </c>
      <c r="B640" s="10">
        <v>45414</v>
      </c>
      <c r="C640" s="5" t="s">
        <v>1018</v>
      </c>
      <c r="D640" s="11" t="s">
        <v>1656</v>
      </c>
      <c r="E640" s="5" t="s">
        <v>2689</v>
      </c>
      <c r="F640" s="5">
        <v>20</v>
      </c>
      <c r="G640" s="5" t="str" cm="1">
        <f t="array" ref="G640">_xlfn.IFS(F640&lt;12,"Child",F640&lt;18,"Teen",F640&lt;25,"Young",F640&lt;40,"Adult",F640&lt;60,"Middle Age",F640&gt;=60,"Old")</f>
        <v>Young</v>
      </c>
      <c r="H640" s="5" t="s">
        <v>2043</v>
      </c>
      <c r="I640" s="5" t="s">
        <v>2015</v>
      </c>
      <c r="J640" s="5" t="s">
        <v>2016</v>
      </c>
      <c r="K640" s="5" t="str">
        <f>VLOOKUP(J640,Sheet2!$A$1:$B$11,2,FALSE)</f>
        <v>Winter Wear</v>
      </c>
      <c r="L640" s="5">
        <v>1</v>
      </c>
      <c r="M640" s="6">
        <v>976</v>
      </c>
      <c r="N640" s="6">
        <v>976</v>
      </c>
      <c r="O640" s="7">
        <v>0.1</v>
      </c>
      <c r="P640" s="8">
        <f t="shared" si="18"/>
        <v>97.600000000000009</v>
      </c>
      <c r="Q640" s="9">
        <f t="shared" si="19"/>
        <v>878.4</v>
      </c>
      <c r="R640" s="5">
        <v>17</v>
      </c>
      <c r="S640" s="5" t="s">
        <v>2034</v>
      </c>
      <c r="T640" s="5" t="s">
        <v>2036</v>
      </c>
    </row>
    <row r="641" spans="1:20" x14ac:dyDescent="0.25">
      <c r="A641" s="5" t="s">
        <v>654</v>
      </c>
      <c r="B641" s="10">
        <v>45438</v>
      </c>
      <c r="C641" s="5" t="s">
        <v>1015</v>
      </c>
      <c r="D641" s="11" t="s">
        <v>1657</v>
      </c>
      <c r="E641" s="5" t="s">
        <v>2690</v>
      </c>
      <c r="F641" s="5">
        <v>37</v>
      </c>
      <c r="G641" s="5" t="str" cm="1">
        <f t="array" ref="G641">_xlfn.IFS(F641&lt;12,"Child",F641&lt;18,"Teen",F641&lt;25,"Young",F641&lt;40,"Adult",F641&lt;60,"Middle Age",F641&gt;=60,"Old")</f>
        <v>Adult</v>
      </c>
      <c r="H641" s="5" t="s">
        <v>2043</v>
      </c>
      <c r="I641" s="5" t="s">
        <v>2049</v>
      </c>
      <c r="J641" s="5" t="s">
        <v>2023</v>
      </c>
      <c r="K641" s="5" t="str">
        <f>VLOOKUP(J641,Sheet2!$A$1:$B$11,2,FALSE)</f>
        <v>Formal Wear</v>
      </c>
      <c r="L641" s="5">
        <v>4</v>
      </c>
      <c r="M641" s="6">
        <v>737</v>
      </c>
      <c r="N641" s="6">
        <v>2948</v>
      </c>
      <c r="O641" s="7">
        <v>0.1</v>
      </c>
      <c r="P641" s="8">
        <f t="shared" si="18"/>
        <v>294.8</v>
      </c>
      <c r="Q641" s="9">
        <f t="shared" si="19"/>
        <v>2653.2</v>
      </c>
      <c r="R641" s="5">
        <v>53</v>
      </c>
      <c r="S641" s="5" t="s">
        <v>2033</v>
      </c>
      <c r="T641" s="5" t="s">
        <v>2036</v>
      </c>
    </row>
    <row r="642" spans="1:20" x14ac:dyDescent="0.25">
      <c r="A642" s="5" t="s">
        <v>655</v>
      </c>
      <c r="B642" s="10">
        <v>45662</v>
      </c>
      <c r="C642" s="5" t="s">
        <v>1015</v>
      </c>
      <c r="D642" s="11" t="s">
        <v>1658</v>
      </c>
      <c r="E642" s="5" t="s">
        <v>2691</v>
      </c>
      <c r="F642" s="5">
        <v>58</v>
      </c>
      <c r="G642" s="5" t="str" cm="1">
        <f t="array" ref="G642">_xlfn.IFS(F642&lt;12,"Child",F642&lt;18,"Teen",F642&lt;25,"Young",F642&lt;40,"Adult",F642&lt;60,"Middle Age",F642&gt;=60,"Old")</f>
        <v>Middle Age</v>
      </c>
      <c r="H642" s="5" t="s">
        <v>2044</v>
      </c>
      <c r="I642" s="5" t="s">
        <v>2051</v>
      </c>
      <c r="J642" s="5" t="s">
        <v>2016</v>
      </c>
      <c r="K642" s="5" t="str">
        <f>VLOOKUP(J642,Sheet2!$A$1:$B$11,2,FALSE)</f>
        <v>Winter Wear</v>
      </c>
      <c r="L642" s="5">
        <v>1</v>
      </c>
      <c r="M642" s="6">
        <v>331</v>
      </c>
      <c r="N642" s="6">
        <v>331</v>
      </c>
      <c r="O642" s="7">
        <v>0.2</v>
      </c>
      <c r="P642" s="8">
        <f t="shared" si="18"/>
        <v>66.2</v>
      </c>
      <c r="Q642" s="9">
        <f t="shared" si="19"/>
        <v>264.8</v>
      </c>
      <c r="R642" s="5">
        <v>5</v>
      </c>
      <c r="S642" s="5" t="s">
        <v>2033</v>
      </c>
      <c r="T642" s="5" t="s">
        <v>2035</v>
      </c>
    </row>
    <row r="643" spans="1:20" x14ac:dyDescent="0.25">
      <c r="A643" s="5" t="s">
        <v>656</v>
      </c>
      <c r="B643" s="10">
        <v>45561</v>
      </c>
      <c r="C643" s="5" t="s">
        <v>1018</v>
      </c>
      <c r="D643" s="11" t="s">
        <v>1659</v>
      </c>
      <c r="E643" s="5" t="s">
        <v>2692</v>
      </c>
      <c r="F643" s="5">
        <v>56</v>
      </c>
      <c r="G643" s="5" t="str" cm="1">
        <f t="array" ref="G643">_xlfn.IFS(F643&lt;12,"Child",F643&lt;18,"Teen",F643&lt;25,"Young",F643&lt;40,"Adult",F643&lt;60,"Middle Age",F643&gt;=60,"Old")</f>
        <v>Middle Age</v>
      </c>
      <c r="H643" s="5" t="s">
        <v>2044</v>
      </c>
      <c r="I643" s="5" t="s">
        <v>2047</v>
      </c>
      <c r="J643" s="5" t="s">
        <v>2018</v>
      </c>
      <c r="K643" s="5" t="str">
        <f>VLOOKUP(J643,Sheet2!$A$1:$B$11,2,FALSE)</f>
        <v>Sportswear</v>
      </c>
      <c r="L643" s="5">
        <v>4</v>
      </c>
      <c r="M643" s="6">
        <v>877</v>
      </c>
      <c r="N643" s="6">
        <v>3508</v>
      </c>
      <c r="O643" s="7">
        <v>0.1</v>
      </c>
      <c r="P643" s="8">
        <f t="shared" ref="P643:P706" si="20">N643*O643</f>
        <v>350.8</v>
      </c>
      <c r="Q643" s="9">
        <f t="shared" ref="Q643:Q706" si="21">N643-P643</f>
        <v>3157.2</v>
      </c>
      <c r="R643" s="5">
        <v>63</v>
      </c>
      <c r="S643" s="5" t="s">
        <v>2032</v>
      </c>
      <c r="T643" s="5" t="s">
        <v>2036</v>
      </c>
    </row>
    <row r="644" spans="1:20" x14ac:dyDescent="0.25">
      <c r="A644" s="5" t="s">
        <v>657</v>
      </c>
      <c r="B644" s="10">
        <v>45471</v>
      </c>
      <c r="C644" s="5" t="s">
        <v>1014</v>
      </c>
      <c r="D644" s="11" t="s">
        <v>1660</v>
      </c>
      <c r="E644" s="5" t="s">
        <v>2693</v>
      </c>
      <c r="F644" s="5">
        <v>57</v>
      </c>
      <c r="G644" s="5" t="str" cm="1">
        <f t="array" ref="G644">_xlfn.IFS(F644&lt;12,"Child",F644&lt;18,"Teen",F644&lt;25,"Young",F644&lt;40,"Adult",F644&lt;60,"Middle Age",F644&gt;=60,"Old")</f>
        <v>Middle Age</v>
      </c>
      <c r="H644" s="5" t="s">
        <v>2043</v>
      </c>
      <c r="I644" s="5" t="s">
        <v>2048</v>
      </c>
      <c r="J644" s="5" t="s">
        <v>2020</v>
      </c>
      <c r="K644" s="5" t="str">
        <f>VLOOKUP(J644,Sheet2!$A$1:$B$11,2,FALSE)</f>
        <v>Summer Wear</v>
      </c>
      <c r="L644" s="5">
        <v>4</v>
      </c>
      <c r="M644" s="6">
        <v>1015</v>
      </c>
      <c r="N644" s="6">
        <v>4060</v>
      </c>
      <c r="O644" s="7">
        <v>0</v>
      </c>
      <c r="P644" s="8">
        <f t="shared" si="20"/>
        <v>0</v>
      </c>
      <c r="Q644" s="9">
        <f t="shared" si="21"/>
        <v>4060</v>
      </c>
      <c r="R644" s="5">
        <v>81</v>
      </c>
      <c r="S644" s="5" t="s">
        <v>2033</v>
      </c>
      <c r="T644" s="5" t="s">
        <v>2036</v>
      </c>
    </row>
    <row r="645" spans="1:20" x14ac:dyDescent="0.25">
      <c r="A645" s="5" t="s">
        <v>658</v>
      </c>
      <c r="B645" s="10">
        <v>45650</v>
      </c>
      <c r="C645" s="5" t="s">
        <v>1019</v>
      </c>
      <c r="D645" s="11" t="s">
        <v>1661</v>
      </c>
      <c r="E645" s="5" t="s">
        <v>2694</v>
      </c>
      <c r="F645" s="5">
        <v>21</v>
      </c>
      <c r="G645" s="5" t="str" cm="1">
        <f t="array" ref="G645">_xlfn.IFS(F645&lt;12,"Child",F645&lt;18,"Teen",F645&lt;25,"Young",F645&lt;40,"Adult",F645&lt;60,"Middle Age",F645&gt;=60,"Old")</f>
        <v>Young</v>
      </c>
      <c r="H645" s="5" t="s">
        <v>2044</v>
      </c>
      <c r="I645" s="5" t="s">
        <v>2046</v>
      </c>
      <c r="J645" s="5" t="s">
        <v>2023</v>
      </c>
      <c r="K645" s="5" t="str">
        <f>VLOOKUP(J645,Sheet2!$A$1:$B$11,2,FALSE)</f>
        <v>Formal Wear</v>
      </c>
      <c r="L645" s="5">
        <v>3</v>
      </c>
      <c r="M645" s="6">
        <v>620</v>
      </c>
      <c r="N645" s="6">
        <v>1860</v>
      </c>
      <c r="O645" s="7">
        <v>0.2</v>
      </c>
      <c r="P645" s="8">
        <f t="shared" si="20"/>
        <v>372</v>
      </c>
      <c r="Q645" s="9">
        <f t="shared" si="21"/>
        <v>1488</v>
      </c>
      <c r="R645" s="5">
        <v>29</v>
      </c>
      <c r="S645" s="5" t="s">
        <v>2033</v>
      </c>
      <c r="T645" s="5" t="s">
        <v>2035</v>
      </c>
    </row>
    <row r="646" spans="1:20" x14ac:dyDescent="0.25">
      <c r="A646" s="5" t="s">
        <v>659</v>
      </c>
      <c r="B646" s="10">
        <v>45533</v>
      </c>
      <c r="C646" s="5" t="s">
        <v>1018</v>
      </c>
      <c r="D646" s="11" t="s">
        <v>1662</v>
      </c>
      <c r="E646" s="5" t="s">
        <v>2695</v>
      </c>
      <c r="F646" s="5">
        <v>28</v>
      </c>
      <c r="G646" s="5" t="str" cm="1">
        <f t="array" ref="G646">_xlfn.IFS(F646&lt;12,"Child",F646&lt;18,"Teen",F646&lt;25,"Young",F646&lt;40,"Adult",F646&lt;60,"Middle Age",F646&gt;=60,"Old")</f>
        <v>Adult</v>
      </c>
      <c r="H646" s="5" t="s">
        <v>2044</v>
      </c>
      <c r="I646" s="5" t="s">
        <v>2050</v>
      </c>
      <c r="J646" s="5" t="s">
        <v>2020</v>
      </c>
      <c r="K646" s="5" t="str">
        <f>VLOOKUP(J646,Sheet2!$A$1:$B$11,2,FALSE)</f>
        <v>Summer Wear</v>
      </c>
      <c r="L646" s="5">
        <v>1</v>
      </c>
      <c r="M646" s="6">
        <v>1137</v>
      </c>
      <c r="N646" s="6">
        <v>1137</v>
      </c>
      <c r="O646" s="7">
        <v>0.15</v>
      </c>
      <c r="P646" s="8">
        <f t="shared" si="20"/>
        <v>170.54999999999998</v>
      </c>
      <c r="Q646" s="9">
        <f t="shared" si="21"/>
        <v>966.45</v>
      </c>
      <c r="R646" s="5">
        <v>19</v>
      </c>
      <c r="S646" s="5" t="s">
        <v>2034</v>
      </c>
      <c r="T646" s="5" t="s">
        <v>2035</v>
      </c>
    </row>
    <row r="647" spans="1:20" x14ac:dyDescent="0.25">
      <c r="A647" s="5" t="s">
        <v>660</v>
      </c>
      <c r="B647" s="10">
        <v>45718</v>
      </c>
      <c r="C647" s="5" t="s">
        <v>1015</v>
      </c>
      <c r="D647" s="11" t="s">
        <v>1663</v>
      </c>
      <c r="E647" s="5" t="s">
        <v>2696</v>
      </c>
      <c r="F647" s="5">
        <v>53</v>
      </c>
      <c r="G647" s="5" t="str" cm="1">
        <f t="array" ref="G647">_xlfn.IFS(F647&lt;12,"Child",F647&lt;18,"Teen",F647&lt;25,"Young",F647&lt;40,"Adult",F647&lt;60,"Middle Age",F647&gt;=60,"Old")</f>
        <v>Middle Age</v>
      </c>
      <c r="H647" s="5" t="s">
        <v>2044</v>
      </c>
      <c r="I647" s="5" t="s">
        <v>2048</v>
      </c>
      <c r="J647" s="5" t="s">
        <v>2020</v>
      </c>
      <c r="K647" s="5" t="str">
        <f>VLOOKUP(J647,Sheet2!$A$1:$B$11,2,FALSE)</f>
        <v>Summer Wear</v>
      </c>
      <c r="L647" s="5">
        <v>4</v>
      </c>
      <c r="M647" s="6">
        <v>935</v>
      </c>
      <c r="N647" s="6">
        <v>3740</v>
      </c>
      <c r="O647" s="7">
        <v>0.15</v>
      </c>
      <c r="P647" s="8">
        <f t="shared" si="20"/>
        <v>561</v>
      </c>
      <c r="Q647" s="9">
        <f t="shared" si="21"/>
        <v>3179</v>
      </c>
      <c r="R647" s="5">
        <v>63</v>
      </c>
      <c r="S647" s="5" t="s">
        <v>2032</v>
      </c>
      <c r="T647" s="5" t="s">
        <v>2037</v>
      </c>
    </row>
    <row r="648" spans="1:20" x14ac:dyDescent="0.25">
      <c r="A648" s="5" t="s">
        <v>661</v>
      </c>
      <c r="B648" s="10">
        <v>45427</v>
      </c>
      <c r="C648" s="5" t="s">
        <v>1017</v>
      </c>
      <c r="D648" s="11" t="s">
        <v>1664</v>
      </c>
      <c r="E648" s="5" t="s">
        <v>2697</v>
      </c>
      <c r="F648" s="5">
        <v>26</v>
      </c>
      <c r="G648" s="5" t="str" cm="1">
        <f t="array" ref="G648">_xlfn.IFS(F648&lt;12,"Child",F648&lt;18,"Teen",F648&lt;25,"Young",F648&lt;40,"Adult",F648&lt;60,"Middle Age",F648&gt;=60,"Old")</f>
        <v>Adult</v>
      </c>
      <c r="H648" s="5" t="s">
        <v>2043</v>
      </c>
      <c r="I648" s="5" t="s">
        <v>2052</v>
      </c>
      <c r="J648" s="5" t="s">
        <v>2023</v>
      </c>
      <c r="K648" s="5" t="str">
        <f>VLOOKUP(J648,Sheet2!$A$1:$B$11,2,FALSE)</f>
        <v>Formal Wear</v>
      </c>
      <c r="L648" s="5">
        <v>2</v>
      </c>
      <c r="M648" s="6">
        <v>1200</v>
      </c>
      <c r="N648" s="6">
        <v>2400</v>
      </c>
      <c r="O648" s="7">
        <v>0</v>
      </c>
      <c r="P648" s="8">
        <f t="shared" si="20"/>
        <v>0</v>
      </c>
      <c r="Q648" s="9">
        <f t="shared" si="21"/>
        <v>2400</v>
      </c>
      <c r="R648" s="5">
        <v>48</v>
      </c>
      <c r="S648" s="5" t="s">
        <v>2033</v>
      </c>
      <c r="T648" s="5" t="s">
        <v>2037</v>
      </c>
    </row>
    <row r="649" spans="1:20" x14ac:dyDescent="0.25">
      <c r="A649" s="5" t="s">
        <v>662</v>
      </c>
      <c r="B649" s="10">
        <v>45356</v>
      </c>
      <c r="C649" s="5" t="s">
        <v>1019</v>
      </c>
      <c r="D649" s="11" t="s">
        <v>1665</v>
      </c>
      <c r="E649" s="5" t="s">
        <v>2698</v>
      </c>
      <c r="F649" s="5">
        <v>52</v>
      </c>
      <c r="G649" s="5" t="str" cm="1">
        <f t="array" ref="G649">_xlfn.IFS(F649&lt;12,"Child",F649&lt;18,"Teen",F649&lt;25,"Young",F649&lt;40,"Adult",F649&lt;60,"Middle Age",F649&gt;=60,"Old")</f>
        <v>Middle Age</v>
      </c>
      <c r="H649" s="5" t="s">
        <v>2043</v>
      </c>
      <c r="I649" s="5" t="s">
        <v>2049</v>
      </c>
      <c r="J649" s="5" t="s">
        <v>2020</v>
      </c>
      <c r="K649" s="5" t="str">
        <f>VLOOKUP(J649,Sheet2!$A$1:$B$11,2,FALSE)</f>
        <v>Summer Wear</v>
      </c>
      <c r="L649" s="5">
        <v>5</v>
      </c>
      <c r="M649" s="6">
        <v>433</v>
      </c>
      <c r="N649" s="6">
        <v>2165</v>
      </c>
      <c r="O649" s="7">
        <v>0.1</v>
      </c>
      <c r="P649" s="8">
        <f t="shared" si="20"/>
        <v>216.5</v>
      </c>
      <c r="Q649" s="9">
        <f t="shared" si="21"/>
        <v>1948.5</v>
      </c>
      <c r="R649" s="5">
        <v>38</v>
      </c>
      <c r="S649" s="5" t="s">
        <v>2033</v>
      </c>
      <c r="T649" s="5" t="s">
        <v>2036</v>
      </c>
    </row>
    <row r="650" spans="1:20" x14ac:dyDescent="0.25">
      <c r="A650" s="5" t="s">
        <v>663</v>
      </c>
      <c r="B650" s="10">
        <v>45655</v>
      </c>
      <c r="C650" s="5" t="s">
        <v>1015</v>
      </c>
      <c r="D650" s="11" t="s">
        <v>1666</v>
      </c>
      <c r="E650" s="5" t="s">
        <v>2699</v>
      </c>
      <c r="F650" s="5">
        <v>41</v>
      </c>
      <c r="G650" s="5" t="str" cm="1">
        <f t="array" ref="G650">_xlfn.IFS(F650&lt;12,"Child",F650&lt;18,"Teen",F650&lt;25,"Young",F650&lt;40,"Adult",F650&lt;60,"Middle Age",F650&gt;=60,"Old")</f>
        <v>Middle Age</v>
      </c>
      <c r="H650" s="5" t="s">
        <v>2044</v>
      </c>
      <c r="I650" s="5" t="s">
        <v>2053</v>
      </c>
      <c r="J650" s="5" t="s">
        <v>2019</v>
      </c>
      <c r="K650" s="5" t="str">
        <f>VLOOKUP(J650,Sheet2!$A$1:$B$11,2,FALSE)</f>
        <v>Formal Wear</v>
      </c>
      <c r="L650" s="5">
        <v>5</v>
      </c>
      <c r="M650" s="6">
        <v>916</v>
      </c>
      <c r="N650" s="6">
        <v>4580</v>
      </c>
      <c r="O650" s="7">
        <v>0.2</v>
      </c>
      <c r="P650" s="8">
        <f t="shared" si="20"/>
        <v>916</v>
      </c>
      <c r="Q650" s="9">
        <f t="shared" si="21"/>
        <v>3664</v>
      </c>
      <c r="R650" s="5">
        <v>73</v>
      </c>
      <c r="S650" s="5" t="s">
        <v>2034</v>
      </c>
      <c r="T650" s="5" t="s">
        <v>2037</v>
      </c>
    </row>
    <row r="651" spans="1:20" x14ac:dyDescent="0.25">
      <c r="A651" s="5" t="s">
        <v>664</v>
      </c>
      <c r="B651" s="10">
        <v>45543</v>
      </c>
      <c r="C651" s="5" t="s">
        <v>1015</v>
      </c>
      <c r="D651" s="11" t="s">
        <v>1667</v>
      </c>
      <c r="E651" s="5" t="s">
        <v>2700</v>
      </c>
      <c r="F651" s="5">
        <v>19</v>
      </c>
      <c r="G651" s="5" t="str" cm="1">
        <f t="array" ref="G651">_xlfn.IFS(F651&lt;12,"Child",F651&lt;18,"Teen",F651&lt;25,"Young",F651&lt;40,"Adult",F651&lt;60,"Middle Age",F651&gt;=60,"Old")</f>
        <v>Young</v>
      </c>
      <c r="H651" s="5" t="s">
        <v>2044</v>
      </c>
      <c r="I651" s="5" t="s">
        <v>2051</v>
      </c>
      <c r="J651" s="5" t="s">
        <v>2019</v>
      </c>
      <c r="K651" s="5" t="str">
        <f>VLOOKUP(J651,Sheet2!$A$1:$B$11,2,FALSE)</f>
        <v>Formal Wear</v>
      </c>
      <c r="L651" s="5">
        <v>1</v>
      </c>
      <c r="M651" s="6">
        <v>808</v>
      </c>
      <c r="N651" s="6">
        <v>808</v>
      </c>
      <c r="O651" s="7">
        <v>0</v>
      </c>
      <c r="P651" s="8">
        <f t="shared" si="20"/>
        <v>0</v>
      </c>
      <c r="Q651" s="9">
        <f t="shared" si="21"/>
        <v>808</v>
      </c>
      <c r="R651" s="5">
        <v>16</v>
      </c>
      <c r="S651" s="5" t="s">
        <v>2033</v>
      </c>
      <c r="T651" s="5" t="s">
        <v>2035</v>
      </c>
    </row>
    <row r="652" spans="1:20" x14ac:dyDescent="0.25">
      <c r="A652" s="5" t="s">
        <v>665</v>
      </c>
      <c r="B652" s="10">
        <v>45406</v>
      </c>
      <c r="C652" s="5" t="s">
        <v>1017</v>
      </c>
      <c r="D652" s="11" t="s">
        <v>1668</v>
      </c>
      <c r="E652" s="5" t="s">
        <v>2701</v>
      </c>
      <c r="F652" s="5">
        <v>20</v>
      </c>
      <c r="G652" s="5" t="str" cm="1">
        <f t="array" ref="G652">_xlfn.IFS(F652&lt;12,"Child",F652&lt;18,"Teen",F652&lt;25,"Young",F652&lt;40,"Adult",F652&lt;60,"Middle Age",F652&gt;=60,"Old")</f>
        <v>Young</v>
      </c>
      <c r="H652" s="5" t="s">
        <v>2044</v>
      </c>
      <c r="I652" s="5" t="s">
        <v>2048</v>
      </c>
      <c r="J652" s="5" t="s">
        <v>2022</v>
      </c>
      <c r="K652" s="5" t="str">
        <f>VLOOKUP(J652,Sheet2!$A$1:$B$11,2,FALSE)</f>
        <v>Sportswear</v>
      </c>
      <c r="L652" s="5">
        <v>3</v>
      </c>
      <c r="M652" s="6">
        <v>587</v>
      </c>
      <c r="N652" s="6">
        <v>1761</v>
      </c>
      <c r="O652" s="7">
        <v>0.05</v>
      </c>
      <c r="P652" s="8">
        <f t="shared" si="20"/>
        <v>88.050000000000011</v>
      </c>
      <c r="Q652" s="9">
        <f t="shared" si="21"/>
        <v>1672.95</v>
      </c>
      <c r="R652" s="5">
        <v>33</v>
      </c>
      <c r="S652" s="5" t="s">
        <v>2033</v>
      </c>
      <c r="T652" s="5" t="s">
        <v>2036</v>
      </c>
    </row>
    <row r="653" spans="1:20" x14ac:dyDescent="0.25">
      <c r="A653" s="5" t="s">
        <v>666</v>
      </c>
      <c r="B653" s="10">
        <v>45471</v>
      </c>
      <c r="C653" s="5" t="s">
        <v>1014</v>
      </c>
      <c r="D653" s="11" t="s">
        <v>1669</v>
      </c>
      <c r="E653" s="5" t="s">
        <v>2702</v>
      </c>
      <c r="F653" s="5">
        <v>57</v>
      </c>
      <c r="G653" s="5" t="str" cm="1">
        <f t="array" ref="G653">_xlfn.IFS(F653&lt;12,"Child",F653&lt;18,"Teen",F653&lt;25,"Young",F653&lt;40,"Adult",F653&lt;60,"Middle Age",F653&gt;=60,"Old")</f>
        <v>Middle Age</v>
      </c>
      <c r="H653" s="5" t="s">
        <v>2043</v>
      </c>
      <c r="I653" s="5" t="s">
        <v>2047</v>
      </c>
      <c r="J653" s="5" t="s">
        <v>2020</v>
      </c>
      <c r="K653" s="5" t="str">
        <f>VLOOKUP(J653,Sheet2!$A$1:$B$11,2,FALSE)</f>
        <v>Summer Wear</v>
      </c>
      <c r="L653" s="5">
        <v>1</v>
      </c>
      <c r="M653" s="6">
        <v>202</v>
      </c>
      <c r="N653" s="6">
        <v>202</v>
      </c>
      <c r="O653" s="7">
        <v>0</v>
      </c>
      <c r="P653" s="8">
        <f t="shared" si="20"/>
        <v>0</v>
      </c>
      <c r="Q653" s="9">
        <f t="shared" si="21"/>
        <v>202</v>
      </c>
      <c r="R653" s="5">
        <v>4</v>
      </c>
      <c r="S653" s="5" t="s">
        <v>2034</v>
      </c>
      <c r="T653" s="5" t="s">
        <v>2036</v>
      </c>
    </row>
    <row r="654" spans="1:20" x14ac:dyDescent="0.25">
      <c r="A654" s="5" t="s">
        <v>667</v>
      </c>
      <c r="B654" s="10">
        <v>45408</v>
      </c>
      <c r="C654" s="5" t="s">
        <v>1014</v>
      </c>
      <c r="D654" s="11" t="s">
        <v>1670</v>
      </c>
      <c r="E654" s="5" t="s">
        <v>2703</v>
      </c>
      <c r="F654" s="5">
        <v>29</v>
      </c>
      <c r="G654" s="5" t="str" cm="1">
        <f t="array" ref="G654">_xlfn.IFS(F654&lt;12,"Child",F654&lt;18,"Teen",F654&lt;25,"Young",F654&lt;40,"Adult",F654&lt;60,"Middle Age",F654&gt;=60,"Old")</f>
        <v>Adult</v>
      </c>
      <c r="H654" s="5" t="s">
        <v>2043</v>
      </c>
      <c r="I654" s="5" t="s">
        <v>2047</v>
      </c>
      <c r="J654" s="5" t="s">
        <v>2020</v>
      </c>
      <c r="K654" s="5" t="str">
        <f>VLOOKUP(J654,Sheet2!$A$1:$B$11,2,FALSE)</f>
        <v>Summer Wear</v>
      </c>
      <c r="L654" s="5">
        <v>2</v>
      </c>
      <c r="M654" s="6">
        <v>256</v>
      </c>
      <c r="N654" s="6">
        <v>512</v>
      </c>
      <c r="O654" s="7">
        <v>0</v>
      </c>
      <c r="P654" s="8">
        <f t="shared" si="20"/>
        <v>0</v>
      </c>
      <c r="Q654" s="9">
        <f t="shared" si="21"/>
        <v>512</v>
      </c>
      <c r="R654" s="5">
        <v>10</v>
      </c>
      <c r="S654" s="5" t="s">
        <v>2032</v>
      </c>
      <c r="T654" s="5" t="s">
        <v>2037</v>
      </c>
    </row>
    <row r="655" spans="1:20" x14ac:dyDescent="0.25">
      <c r="A655" s="5" t="s">
        <v>668</v>
      </c>
      <c r="B655" s="10">
        <v>45393</v>
      </c>
      <c r="C655" s="5" t="s">
        <v>1018</v>
      </c>
      <c r="D655" s="11" t="s">
        <v>1671</v>
      </c>
      <c r="E655" s="5" t="s">
        <v>2704</v>
      </c>
      <c r="F655" s="5">
        <v>21</v>
      </c>
      <c r="G655" s="5" t="str" cm="1">
        <f t="array" ref="G655">_xlfn.IFS(F655&lt;12,"Child",F655&lt;18,"Teen",F655&lt;25,"Young",F655&lt;40,"Adult",F655&lt;60,"Middle Age",F655&gt;=60,"Old")</f>
        <v>Young</v>
      </c>
      <c r="H655" s="5" t="s">
        <v>2044</v>
      </c>
      <c r="I655" s="5" t="s">
        <v>2045</v>
      </c>
      <c r="J655" s="5" t="s">
        <v>2020</v>
      </c>
      <c r="K655" s="5" t="str">
        <f>VLOOKUP(J655,Sheet2!$A$1:$B$11,2,FALSE)</f>
        <v>Summer Wear</v>
      </c>
      <c r="L655" s="5">
        <v>3</v>
      </c>
      <c r="M655" s="6">
        <v>906</v>
      </c>
      <c r="N655" s="6">
        <v>2718</v>
      </c>
      <c r="O655" s="7">
        <v>0.05</v>
      </c>
      <c r="P655" s="8">
        <f t="shared" si="20"/>
        <v>135.9</v>
      </c>
      <c r="Q655" s="9">
        <f t="shared" si="21"/>
        <v>2582.1</v>
      </c>
      <c r="R655" s="5">
        <v>51</v>
      </c>
      <c r="S655" s="5" t="s">
        <v>2032</v>
      </c>
      <c r="T655" s="5" t="s">
        <v>2036</v>
      </c>
    </row>
    <row r="656" spans="1:20" x14ac:dyDescent="0.25">
      <c r="A656" s="5" t="s">
        <v>669</v>
      </c>
      <c r="B656" s="10">
        <v>45713</v>
      </c>
      <c r="C656" s="5" t="s">
        <v>1019</v>
      </c>
      <c r="D656" s="11" t="s">
        <v>1672</v>
      </c>
      <c r="E656" s="5" t="s">
        <v>2705</v>
      </c>
      <c r="F656" s="5">
        <v>59</v>
      </c>
      <c r="G656" s="5" t="str" cm="1">
        <f t="array" ref="G656">_xlfn.IFS(F656&lt;12,"Child",F656&lt;18,"Teen",F656&lt;25,"Young",F656&lt;40,"Adult",F656&lt;60,"Middle Age",F656&gt;=60,"Old")</f>
        <v>Middle Age</v>
      </c>
      <c r="H656" s="5" t="s">
        <v>2043</v>
      </c>
      <c r="I656" s="5" t="s">
        <v>2049</v>
      </c>
      <c r="J656" s="5" t="s">
        <v>2020</v>
      </c>
      <c r="K656" s="5" t="str">
        <f>VLOOKUP(J656,Sheet2!$A$1:$B$11,2,FALSE)</f>
        <v>Summer Wear</v>
      </c>
      <c r="L656" s="5">
        <v>2</v>
      </c>
      <c r="M656" s="6">
        <v>364</v>
      </c>
      <c r="N656" s="6">
        <v>728</v>
      </c>
      <c r="O656" s="7">
        <v>0.05</v>
      </c>
      <c r="P656" s="8">
        <f t="shared" si="20"/>
        <v>36.4</v>
      </c>
      <c r="Q656" s="9">
        <f t="shared" si="21"/>
        <v>691.6</v>
      </c>
      <c r="R656" s="5">
        <v>13</v>
      </c>
      <c r="S656" s="5" t="s">
        <v>2033</v>
      </c>
      <c r="T656" s="5" t="s">
        <v>2035</v>
      </c>
    </row>
    <row r="657" spans="1:20" x14ac:dyDescent="0.25">
      <c r="A657" s="5" t="s">
        <v>670</v>
      </c>
      <c r="B657" s="10">
        <v>45716</v>
      </c>
      <c r="C657" s="5" t="s">
        <v>1014</v>
      </c>
      <c r="D657" s="11" t="s">
        <v>1673</v>
      </c>
      <c r="E657" s="5" t="s">
        <v>2706</v>
      </c>
      <c r="F657" s="5">
        <v>49</v>
      </c>
      <c r="G657" s="5" t="str" cm="1">
        <f t="array" ref="G657">_xlfn.IFS(F657&lt;12,"Child",F657&lt;18,"Teen",F657&lt;25,"Young",F657&lt;40,"Adult",F657&lt;60,"Middle Age",F657&gt;=60,"Old")</f>
        <v>Middle Age</v>
      </c>
      <c r="H657" s="5" t="s">
        <v>2044</v>
      </c>
      <c r="I657" s="5" t="s">
        <v>2015</v>
      </c>
      <c r="J657" s="5" t="s">
        <v>2022</v>
      </c>
      <c r="K657" s="5" t="str">
        <f>VLOOKUP(J657,Sheet2!$A$1:$B$11,2,FALSE)</f>
        <v>Sportswear</v>
      </c>
      <c r="L657" s="5">
        <v>2</v>
      </c>
      <c r="M657" s="6">
        <v>621</v>
      </c>
      <c r="N657" s="6">
        <v>1242</v>
      </c>
      <c r="O657" s="7">
        <v>0</v>
      </c>
      <c r="P657" s="8">
        <f t="shared" si="20"/>
        <v>0</v>
      </c>
      <c r="Q657" s="9">
        <f t="shared" si="21"/>
        <v>1242</v>
      </c>
      <c r="R657" s="5">
        <v>24</v>
      </c>
      <c r="S657" s="5" t="s">
        <v>2034</v>
      </c>
      <c r="T657" s="5" t="s">
        <v>2037</v>
      </c>
    </row>
    <row r="658" spans="1:20" x14ac:dyDescent="0.25">
      <c r="A658" s="5" t="s">
        <v>671</v>
      </c>
      <c r="B658" s="10">
        <v>45646</v>
      </c>
      <c r="C658" s="5" t="s">
        <v>1014</v>
      </c>
      <c r="D658" s="11" t="s">
        <v>1674</v>
      </c>
      <c r="E658" s="5" t="s">
        <v>2707</v>
      </c>
      <c r="F658" s="5">
        <v>40</v>
      </c>
      <c r="G658" s="5" t="str" cm="1">
        <f t="array" ref="G658">_xlfn.IFS(F658&lt;12,"Child",F658&lt;18,"Teen",F658&lt;25,"Young",F658&lt;40,"Adult",F658&lt;60,"Middle Age",F658&gt;=60,"Old")</f>
        <v>Middle Age</v>
      </c>
      <c r="H658" s="5" t="s">
        <v>2043</v>
      </c>
      <c r="I658" s="5" t="s">
        <v>2049</v>
      </c>
      <c r="J658" s="5" t="s">
        <v>2021</v>
      </c>
      <c r="K658" s="5" t="str">
        <f>VLOOKUP(J658,Sheet2!$A$1:$B$11,2,FALSE)</f>
        <v>Casual Wear</v>
      </c>
      <c r="L658" s="5">
        <v>4</v>
      </c>
      <c r="M658" s="6">
        <v>185</v>
      </c>
      <c r="N658" s="6">
        <v>740</v>
      </c>
      <c r="O658" s="7">
        <v>0.1</v>
      </c>
      <c r="P658" s="8">
        <f t="shared" si="20"/>
        <v>74</v>
      </c>
      <c r="Q658" s="9">
        <f t="shared" si="21"/>
        <v>666</v>
      </c>
      <c r="R658" s="5">
        <v>13</v>
      </c>
      <c r="S658" s="5" t="s">
        <v>2032</v>
      </c>
      <c r="T658" s="5" t="s">
        <v>2035</v>
      </c>
    </row>
    <row r="659" spans="1:20" x14ac:dyDescent="0.25">
      <c r="A659" s="5" t="s">
        <v>672</v>
      </c>
      <c r="B659" s="10">
        <v>45440</v>
      </c>
      <c r="C659" s="5" t="s">
        <v>1019</v>
      </c>
      <c r="D659" s="11" t="s">
        <v>1675</v>
      </c>
      <c r="E659" s="5" t="s">
        <v>2708</v>
      </c>
      <c r="F659" s="5">
        <v>32</v>
      </c>
      <c r="G659" s="5" t="str" cm="1">
        <f t="array" ref="G659">_xlfn.IFS(F659&lt;12,"Child",F659&lt;18,"Teen",F659&lt;25,"Young",F659&lt;40,"Adult",F659&lt;60,"Middle Age",F659&gt;=60,"Old")</f>
        <v>Adult</v>
      </c>
      <c r="H659" s="5" t="s">
        <v>2044</v>
      </c>
      <c r="I659" s="5" t="s">
        <v>2046</v>
      </c>
      <c r="J659" s="5" t="s">
        <v>2016</v>
      </c>
      <c r="K659" s="5" t="str">
        <f>VLOOKUP(J659,Sheet2!$A$1:$B$11,2,FALSE)</f>
        <v>Winter Wear</v>
      </c>
      <c r="L659" s="5">
        <v>3</v>
      </c>
      <c r="M659" s="6">
        <v>681</v>
      </c>
      <c r="N659" s="6">
        <v>2043</v>
      </c>
      <c r="O659" s="7">
        <v>0.2</v>
      </c>
      <c r="P659" s="8">
        <f t="shared" si="20"/>
        <v>408.6</v>
      </c>
      <c r="Q659" s="9">
        <f t="shared" si="21"/>
        <v>1634.4</v>
      </c>
      <c r="R659" s="5">
        <v>32</v>
      </c>
      <c r="S659" s="5" t="s">
        <v>2033</v>
      </c>
      <c r="T659" s="5" t="s">
        <v>2035</v>
      </c>
    </row>
    <row r="660" spans="1:20" x14ac:dyDescent="0.25">
      <c r="A660" s="5" t="s">
        <v>673</v>
      </c>
      <c r="B660" s="10">
        <v>45621</v>
      </c>
      <c r="C660" s="5" t="s">
        <v>1016</v>
      </c>
      <c r="D660" s="11" t="s">
        <v>1676</v>
      </c>
      <c r="E660" s="5" t="s">
        <v>2709</v>
      </c>
      <c r="F660" s="5">
        <v>50</v>
      </c>
      <c r="G660" s="5" t="str" cm="1">
        <f t="array" ref="G660">_xlfn.IFS(F660&lt;12,"Child",F660&lt;18,"Teen",F660&lt;25,"Young",F660&lt;40,"Adult",F660&lt;60,"Middle Age",F660&gt;=60,"Old")</f>
        <v>Middle Age</v>
      </c>
      <c r="H660" s="5" t="s">
        <v>2043</v>
      </c>
      <c r="I660" s="5" t="s">
        <v>2048</v>
      </c>
      <c r="J660" s="5" t="s">
        <v>2020</v>
      </c>
      <c r="K660" s="5" t="str">
        <f>VLOOKUP(J660,Sheet2!$A$1:$B$11,2,FALSE)</f>
        <v>Summer Wear</v>
      </c>
      <c r="L660" s="5">
        <v>5</v>
      </c>
      <c r="M660" s="6">
        <v>525</v>
      </c>
      <c r="N660" s="6">
        <v>2625</v>
      </c>
      <c r="O660" s="7">
        <v>0.1</v>
      </c>
      <c r="P660" s="8">
        <f t="shared" si="20"/>
        <v>262.5</v>
      </c>
      <c r="Q660" s="9">
        <f t="shared" si="21"/>
        <v>2362.5</v>
      </c>
      <c r="R660" s="5">
        <v>47</v>
      </c>
      <c r="S660" s="5" t="s">
        <v>2032</v>
      </c>
      <c r="T660" s="5" t="s">
        <v>2035</v>
      </c>
    </row>
    <row r="661" spans="1:20" x14ac:dyDescent="0.25">
      <c r="A661" s="5" t="s">
        <v>674</v>
      </c>
      <c r="B661" s="10">
        <v>45397</v>
      </c>
      <c r="C661" s="5" t="s">
        <v>1016</v>
      </c>
      <c r="D661" s="11" t="s">
        <v>1677</v>
      </c>
      <c r="E661" s="5" t="s">
        <v>2710</v>
      </c>
      <c r="F661" s="5">
        <v>60</v>
      </c>
      <c r="G661" s="5" t="str" cm="1">
        <f t="array" ref="G661">_xlfn.IFS(F661&lt;12,"Child",F661&lt;18,"Teen",F661&lt;25,"Young",F661&lt;40,"Adult",F661&lt;60,"Middle Age",F661&gt;=60,"Old")</f>
        <v>Old</v>
      </c>
      <c r="H661" s="5" t="s">
        <v>2043</v>
      </c>
      <c r="I661" s="5" t="s">
        <v>2048</v>
      </c>
      <c r="J661" s="5" t="s">
        <v>2020</v>
      </c>
      <c r="K661" s="5" t="str">
        <f>VLOOKUP(J661,Sheet2!$A$1:$B$11,2,FALSE)</f>
        <v>Summer Wear</v>
      </c>
      <c r="L661" s="5">
        <v>2</v>
      </c>
      <c r="M661" s="6">
        <v>397</v>
      </c>
      <c r="N661" s="6">
        <v>794</v>
      </c>
      <c r="O661" s="7">
        <v>0.15</v>
      </c>
      <c r="P661" s="8">
        <f t="shared" si="20"/>
        <v>119.1</v>
      </c>
      <c r="Q661" s="9">
        <f t="shared" si="21"/>
        <v>674.9</v>
      </c>
      <c r="R661" s="5">
        <v>13</v>
      </c>
      <c r="S661" s="5" t="s">
        <v>2032</v>
      </c>
      <c r="T661" s="5" t="s">
        <v>2035</v>
      </c>
    </row>
    <row r="662" spans="1:20" x14ac:dyDescent="0.25">
      <c r="A662" s="5" t="s">
        <v>675</v>
      </c>
      <c r="B662" s="10">
        <v>45580</v>
      </c>
      <c r="C662" s="5" t="s">
        <v>1019</v>
      </c>
      <c r="D662" s="11" t="s">
        <v>1678</v>
      </c>
      <c r="E662" s="5" t="s">
        <v>2711</v>
      </c>
      <c r="F662" s="5">
        <v>27</v>
      </c>
      <c r="G662" s="5" t="str" cm="1">
        <f t="array" ref="G662">_xlfn.IFS(F662&lt;12,"Child",F662&lt;18,"Teen",F662&lt;25,"Young",F662&lt;40,"Adult",F662&lt;60,"Middle Age",F662&gt;=60,"Old")</f>
        <v>Adult</v>
      </c>
      <c r="H662" s="5" t="s">
        <v>2043</v>
      </c>
      <c r="I662" s="5" t="s">
        <v>2052</v>
      </c>
      <c r="J662" s="5" t="s">
        <v>2017</v>
      </c>
      <c r="K662" s="5" t="str">
        <f>VLOOKUP(J662,Sheet2!$A$1:$B$11,2,FALSE)</f>
        <v>Casual Wear</v>
      </c>
      <c r="L662" s="5">
        <v>3</v>
      </c>
      <c r="M662" s="6">
        <v>346</v>
      </c>
      <c r="N662" s="6">
        <v>1038</v>
      </c>
      <c r="O662" s="7">
        <v>0.2</v>
      </c>
      <c r="P662" s="8">
        <f t="shared" si="20"/>
        <v>207.60000000000002</v>
      </c>
      <c r="Q662" s="9">
        <f t="shared" si="21"/>
        <v>830.4</v>
      </c>
      <c r="R662" s="5">
        <v>16</v>
      </c>
      <c r="S662" s="5" t="s">
        <v>2033</v>
      </c>
      <c r="T662" s="5" t="s">
        <v>2036</v>
      </c>
    </row>
    <row r="663" spans="1:20" x14ac:dyDescent="0.25">
      <c r="A663" s="5" t="s">
        <v>676</v>
      </c>
      <c r="B663" s="10">
        <v>45695</v>
      </c>
      <c r="C663" s="5" t="s">
        <v>1014</v>
      </c>
      <c r="D663" s="11" t="s">
        <v>1679</v>
      </c>
      <c r="E663" s="5" t="s">
        <v>2712</v>
      </c>
      <c r="F663" s="5">
        <v>26</v>
      </c>
      <c r="G663" s="5" t="str" cm="1">
        <f t="array" ref="G663">_xlfn.IFS(F663&lt;12,"Child",F663&lt;18,"Teen",F663&lt;25,"Young",F663&lt;40,"Adult",F663&lt;60,"Middle Age",F663&gt;=60,"Old")</f>
        <v>Adult</v>
      </c>
      <c r="H663" s="5" t="s">
        <v>2044</v>
      </c>
      <c r="I663" s="5" t="s">
        <v>2052</v>
      </c>
      <c r="J663" s="5" t="s">
        <v>2024</v>
      </c>
      <c r="K663" s="5" t="str">
        <f>VLOOKUP(J663,Sheet2!$A$1:$B$11,2,FALSE)</f>
        <v>Fashion Accessories</v>
      </c>
      <c r="L663" s="5">
        <v>3</v>
      </c>
      <c r="M663" s="6">
        <v>721</v>
      </c>
      <c r="N663" s="6">
        <v>2163</v>
      </c>
      <c r="O663" s="7">
        <v>0.1</v>
      </c>
      <c r="P663" s="8">
        <f t="shared" si="20"/>
        <v>216.3</v>
      </c>
      <c r="Q663" s="9">
        <f t="shared" si="21"/>
        <v>1946.7</v>
      </c>
      <c r="R663" s="5">
        <v>38</v>
      </c>
      <c r="S663" s="5" t="s">
        <v>2034</v>
      </c>
      <c r="T663" s="5" t="s">
        <v>2035</v>
      </c>
    </row>
    <row r="664" spans="1:20" x14ac:dyDescent="0.25">
      <c r="A664" s="5" t="s">
        <v>677</v>
      </c>
      <c r="B664" s="10">
        <v>45719</v>
      </c>
      <c r="C664" s="5" t="s">
        <v>1016</v>
      </c>
      <c r="D664" s="11" t="s">
        <v>1680</v>
      </c>
      <c r="E664" s="5" t="s">
        <v>2713</v>
      </c>
      <c r="F664" s="5">
        <v>25</v>
      </c>
      <c r="G664" s="5" t="str" cm="1">
        <f t="array" ref="G664">_xlfn.IFS(F664&lt;12,"Child",F664&lt;18,"Teen",F664&lt;25,"Young",F664&lt;40,"Adult",F664&lt;60,"Middle Age",F664&gt;=60,"Old")</f>
        <v>Adult</v>
      </c>
      <c r="H664" s="5" t="s">
        <v>2043</v>
      </c>
      <c r="I664" s="5" t="s">
        <v>2051</v>
      </c>
      <c r="J664" s="5" t="s">
        <v>2021</v>
      </c>
      <c r="K664" s="5" t="str">
        <f>VLOOKUP(J664,Sheet2!$A$1:$B$11,2,FALSE)</f>
        <v>Casual Wear</v>
      </c>
      <c r="L664" s="5">
        <v>2</v>
      </c>
      <c r="M664" s="6">
        <v>1109</v>
      </c>
      <c r="N664" s="6">
        <v>2218</v>
      </c>
      <c r="O664" s="7">
        <v>0.1</v>
      </c>
      <c r="P664" s="8">
        <f t="shared" si="20"/>
        <v>221.8</v>
      </c>
      <c r="Q664" s="9">
        <f t="shared" si="21"/>
        <v>1996.2</v>
      </c>
      <c r="R664" s="5">
        <v>39</v>
      </c>
      <c r="S664" s="5" t="s">
        <v>2034</v>
      </c>
      <c r="T664" s="5" t="s">
        <v>2035</v>
      </c>
    </row>
    <row r="665" spans="1:20" x14ac:dyDescent="0.25">
      <c r="A665" s="5" t="s">
        <v>678</v>
      </c>
      <c r="B665" s="10">
        <v>45356</v>
      </c>
      <c r="C665" s="5" t="s">
        <v>1019</v>
      </c>
      <c r="D665" s="11" t="s">
        <v>1681</v>
      </c>
      <c r="E665" s="5" t="s">
        <v>2714</v>
      </c>
      <c r="F665" s="5">
        <v>44</v>
      </c>
      <c r="G665" s="5" t="str" cm="1">
        <f t="array" ref="G665">_xlfn.IFS(F665&lt;12,"Child",F665&lt;18,"Teen",F665&lt;25,"Young",F665&lt;40,"Adult",F665&lt;60,"Middle Age",F665&gt;=60,"Old")</f>
        <v>Middle Age</v>
      </c>
      <c r="H665" s="5" t="s">
        <v>2043</v>
      </c>
      <c r="I665" s="5" t="s">
        <v>2047</v>
      </c>
      <c r="J665" s="5" t="s">
        <v>2021</v>
      </c>
      <c r="K665" s="5" t="str">
        <f>VLOOKUP(J665,Sheet2!$A$1:$B$11,2,FALSE)</f>
        <v>Casual Wear</v>
      </c>
      <c r="L665" s="5">
        <v>3</v>
      </c>
      <c r="M665" s="6">
        <v>705</v>
      </c>
      <c r="N665" s="6">
        <v>2115</v>
      </c>
      <c r="O665" s="7">
        <v>0.05</v>
      </c>
      <c r="P665" s="8">
        <f t="shared" si="20"/>
        <v>105.75</v>
      </c>
      <c r="Q665" s="9">
        <f t="shared" si="21"/>
        <v>2009.25</v>
      </c>
      <c r="R665" s="5">
        <v>40</v>
      </c>
      <c r="S665" s="5" t="s">
        <v>2032</v>
      </c>
      <c r="T665" s="5" t="s">
        <v>2037</v>
      </c>
    </row>
    <row r="666" spans="1:20" x14ac:dyDescent="0.25">
      <c r="A666" s="5" t="s">
        <v>679</v>
      </c>
      <c r="B666" s="10">
        <v>45411</v>
      </c>
      <c r="C666" s="5" t="s">
        <v>1016</v>
      </c>
      <c r="D666" s="11" t="s">
        <v>1682</v>
      </c>
      <c r="E666" s="5" t="s">
        <v>2715</v>
      </c>
      <c r="F666" s="5">
        <v>57</v>
      </c>
      <c r="G666" s="5" t="str" cm="1">
        <f t="array" ref="G666">_xlfn.IFS(F666&lt;12,"Child",F666&lt;18,"Teen",F666&lt;25,"Young",F666&lt;40,"Adult",F666&lt;60,"Middle Age",F666&gt;=60,"Old")</f>
        <v>Middle Age</v>
      </c>
      <c r="H666" s="5" t="s">
        <v>2043</v>
      </c>
      <c r="I666" s="5" t="s">
        <v>2053</v>
      </c>
      <c r="J666" s="5" t="s">
        <v>2023</v>
      </c>
      <c r="K666" s="5" t="str">
        <f>VLOOKUP(J666,Sheet2!$A$1:$B$11,2,FALSE)</f>
        <v>Formal Wear</v>
      </c>
      <c r="L666" s="5">
        <v>3</v>
      </c>
      <c r="M666" s="6">
        <v>217</v>
      </c>
      <c r="N666" s="6">
        <v>651</v>
      </c>
      <c r="O666" s="7">
        <v>0.1</v>
      </c>
      <c r="P666" s="8">
        <f t="shared" si="20"/>
        <v>65.100000000000009</v>
      </c>
      <c r="Q666" s="9">
        <f t="shared" si="21"/>
        <v>585.9</v>
      </c>
      <c r="R666" s="5">
        <v>11</v>
      </c>
      <c r="S666" s="5" t="s">
        <v>2032</v>
      </c>
      <c r="T666" s="5" t="s">
        <v>2037</v>
      </c>
    </row>
    <row r="667" spans="1:20" x14ac:dyDescent="0.25">
      <c r="A667" s="5" t="s">
        <v>680</v>
      </c>
      <c r="B667" s="10">
        <v>45602</v>
      </c>
      <c r="C667" s="5" t="s">
        <v>1017</v>
      </c>
      <c r="D667" s="11" t="s">
        <v>1683</v>
      </c>
      <c r="E667" s="5" t="s">
        <v>2716</v>
      </c>
      <c r="F667" s="5">
        <v>53</v>
      </c>
      <c r="G667" s="5" t="str" cm="1">
        <f t="array" ref="G667">_xlfn.IFS(F667&lt;12,"Child",F667&lt;18,"Teen",F667&lt;25,"Young",F667&lt;40,"Adult",F667&lt;60,"Middle Age",F667&gt;=60,"Old")</f>
        <v>Middle Age</v>
      </c>
      <c r="H667" s="5" t="s">
        <v>2043</v>
      </c>
      <c r="I667" s="5" t="s">
        <v>2048</v>
      </c>
      <c r="J667" s="5" t="s">
        <v>2022</v>
      </c>
      <c r="K667" s="5" t="str">
        <f>VLOOKUP(J667,Sheet2!$A$1:$B$11,2,FALSE)</f>
        <v>Sportswear</v>
      </c>
      <c r="L667" s="5">
        <v>4</v>
      </c>
      <c r="M667" s="6">
        <v>377</v>
      </c>
      <c r="N667" s="6">
        <v>1508</v>
      </c>
      <c r="O667" s="7">
        <v>0.15</v>
      </c>
      <c r="P667" s="8">
        <f t="shared" si="20"/>
        <v>226.2</v>
      </c>
      <c r="Q667" s="9">
        <f t="shared" si="21"/>
        <v>1281.8</v>
      </c>
      <c r="R667" s="5">
        <v>25</v>
      </c>
      <c r="S667" s="5" t="s">
        <v>2032</v>
      </c>
      <c r="T667" s="5" t="s">
        <v>2036</v>
      </c>
    </row>
    <row r="668" spans="1:20" x14ac:dyDescent="0.25">
      <c r="A668" s="5" t="s">
        <v>681</v>
      </c>
      <c r="B668" s="10">
        <v>45466</v>
      </c>
      <c r="C668" s="5" t="s">
        <v>1015</v>
      </c>
      <c r="D668" s="11" t="s">
        <v>1684</v>
      </c>
      <c r="E668" s="5" t="s">
        <v>2717</v>
      </c>
      <c r="F668" s="5">
        <v>33</v>
      </c>
      <c r="G668" s="5" t="str" cm="1">
        <f t="array" ref="G668">_xlfn.IFS(F668&lt;12,"Child",F668&lt;18,"Teen",F668&lt;25,"Young",F668&lt;40,"Adult",F668&lt;60,"Middle Age",F668&gt;=60,"Old")</f>
        <v>Adult</v>
      </c>
      <c r="H668" s="5" t="s">
        <v>2044</v>
      </c>
      <c r="I668" s="5" t="s">
        <v>2053</v>
      </c>
      <c r="J668" s="5" t="s">
        <v>2020</v>
      </c>
      <c r="K668" s="5" t="str">
        <f>VLOOKUP(J668,Sheet2!$A$1:$B$11,2,FALSE)</f>
        <v>Summer Wear</v>
      </c>
      <c r="L668" s="5">
        <v>1</v>
      </c>
      <c r="M668" s="6">
        <v>777</v>
      </c>
      <c r="N668" s="6">
        <v>777</v>
      </c>
      <c r="O668" s="7">
        <v>0.1</v>
      </c>
      <c r="P668" s="8">
        <f t="shared" si="20"/>
        <v>77.7</v>
      </c>
      <c r="Q668" s="9">
        <f t="shared" si="21"/>
        <v>699.3</v>
      </c>
      <c r="R668" s="5">
        <v>13</v>
      </c>
      <c r="S668" s="5" t="s">
        <v>2033</v>
      </c>
      <c r="T668" s="5" t="s">
        <v>2036</v>
      </c>
    </row>
    <row r="669" spans="1:20" x14ac:dyDescent="0.25">
      <c r="A669" s="5" t="s">
        <v>682</v>
      </c>
      <c r="B669" s="10">
        <v>45383</v>
      </c>
      <c r="C669" s="5" t="s">
        <v>1016</v>
      </c>
      <c r="D669" s="11" t="s">
        <v>1685</v>
      </c>
      <c r="E669" s="5" t="s">
        <v>2718</v>
      </c>
      <c r="F669" s="5">
        <v>19</v>
      </c>
      <c r="G669" s="5" t="str" cm="1">
        <f t="array" ref="G669">_xlfn.IFS(F669&lt;12,"Child",F669&lt;18,"Teen",F669&lt;25,"Young",F669&lt;40,"Adult",F669&lt;60,"Middle Age",F669&gt;=60,"Old")</f>
        <v>Young</v>
      </c>
      <c r="H669" s="5" t="s">
        <v>2044</v>
      </c>
      <c r="I669" s="5" t="s">
        <v>2053</v>
      </c>
      <c r="J669" s="5" t="s">
        <v>2023</v>
      </c>
      <c r="K669" s="5" t="str">
        <f>VLOOKUP(J669,Sheet2!$A$1:$B$11,2,FALSE)</f>
        <v>Formal Wear</v>
      </c>
      <c r="L669" s="5">
        <v>4</v>
      </c>
      <c r="M669" s="6">
        <v>632</v>
      </c>
      <c r="N669" s="6">
        <v>2528</v>
      </c>
      <c r="O669" s="7">
        <v>0.1</v>
      </c>
      <c r="P669" s="8">
        <f t="shared" si="20"/>
        <v>252.8</v>
      </c>
      <c r="Q669" s="9">
        <f t="shared" si="21"/>
        <v>2275.1999999999998</v>
      </c>
      <c r="R669" s="5">
        <v>45</v>
      </c>
      <c r="S669" s="5" t="s">
        <v>2033</v>
      </c>
      <c r="T669" s="5" t="s">
        <v>2037</v>
      </c>
    </row>
    <row r="670" spans="1:20" x14ac:dyDescent="0.25">
      <c r="A670" s="5" t="s">
        <v>683</v>
      </c>
      <c r="B670" s="10">
        <v>45686</v>
      </c>
      <c r="C670" s="5" t="s">
        <v>1017</v>
      </c>
      <c r="D670" s="11" t="s">
        <v>1686</v>
      </c>
      <c r="E670" s="5" t="s">
        <v>2719</v>
      </c>
      <c r="F670" s="5">
        <v>30</v>
      </c>
      <c r="G670" s="5" t="str" cm="1">
        <f t="array" ref="G670">_xlfn.IFS(F670&lt;12,"Child",F670&lt;18,"Teen",F670&lt;25,"Young",F670&lt;40,"Adult",F670&lt;60,"Middle Age",F670&gt;=60,"Old")</f>
        <v>Adult</v>
      </c>
      <c r="H670" s="5" t="s">
        <v>2044</v>
      </c>
      <c r="I670" s="5" t="s">
        <v>2051</v>
      </c>
      <c r="J670" s="5" t="s">
        <v>2023</v>
      </c>
      <c r="K670" s="5" t="str">
        <f>VLOOKUP(J670,Sheet2!$A$1:$B$11,2,FALSE)</f>
        <v>Formal Wear</v>
      </c>
      <c r="L670" s="5">
        <v>4</v>
      </c>
      <c r="M670" s="6">
        <v>204</v>
      </c>
      <c r="N670" s="6">
        <v>816</v>
      </c>
      <c r="O670" s="7">
        <v>0.05</v>
      </c>
      <c r="P670" s="8">
        <f t="shared" si="20"/>
        <v>40.800000000000004</v>
      </c>
      <c r="Q670" s="9">
        <f t="shared" si="21"/>
        <v>775.2</v>
      </c>
      <c r="R670" s="5">
        <v>15</v>
      </c>
      <c r="S670" s="5" t="s">
        <v>2032</v>
      </c>
      <c r="T670" s="5" t="s">
        <v>2035</v>
      </c>
    </row>
    <row r="671" spans="1:20" x14ac:dyDescent="0.25">
      <c r="A671" s="5" t="s">
        <v>684</v>
      </c>
      <c r="B671" s="10">
        <v>45547</v>
      </c>
      <c r="C671" s="5" t="s">
        <v>1018</v>
      </c>
      <c r="D671" s="11" t="s">
        <v>1687</v>
      </c>
      <c r="E671" s="5" t="s">
        <v>2720</v>
      </c>
      <c r="F671" s="5">
        <v>59</v>
      </c>
      <c r="G671" s="5" t="str" cm="1">
        <f t="array" ref="G671">_xlfn.IFS(F671&lt;12,"Child",F671&lt;18,"Teen",F671&lt;25,"Young",F671&lt;40,"Adult",F671&lt;60,"Middle Age",F671&gt;=60,"Old")</f>
        <v>Middle Age</v>
      </c>
      <c r="H671" s="5" t="s">
        <v>2044</v>
      </c>
      <c r="I671" s="5" t="s">
        <v>2049</v>
      </c>
      <c r="J671" s="5" t="s">
        <v>2022</v>
      </c>
      <c r="K671" s="5" t="str">
        <f>VLOOKUP(J671,Sheet2!$A$1:$B$11,2,FALSE)</f>
        <v>Sportswear</v>
      </c>
      <c r="L671" s="5">
        <v>5</v>
      </c>
      <c r="M671" s="6">
        <v>724</v>
      </c>
      <c r="N671" s="6">
        <v>3620</v>
      </c>
      <c r="O671" s="7">
        <v>0.1</v>
      </c>
      <c r="P671" s="8">
        <f t="shared" si="20"/>
        <v>362</v>
      </c>
      <c r="Q671" s="9">
        <f t="shared" si="21"/>
        <v>3258</v>
      </c>
      <c r="R671" s="5">
        <v>65</v>
      </c>
      <c r="S671" s="5" t="s">
        <v>2033</v>
      </c>
      <c r="T671" s="5" t="s">
        <v>2036</v>
      </c>
    </row>
    <row r="672" spans="1:20" x14ac:dyDescent="0.25">
      <c r="A672" s="5" t="s">
        <v>685</v>
      </c>
      <c r="B672" s="10">
        <v>45539</v>
      </c>
      <c r="C672" s="5" t="s">
        <v>1017</v>
      </c>
      <c r="D672" s="11" t="s">
        <v>1688</v>
      </c>
      <c r="E672" s="5" t="s">
        <v>2721</v>
      </c>
      <c r="F672" s="5">
        <v>60</v>
      </c>
      <c r="G672" s="5" t="str" cm="1">
        <f t="array" ref="G672">_xlfn.IFS(F672&lt;12,"Child",F672&lt;18,"Teen",F672&lt;25,"Young",F672&lt;40,"Adult",F672&lt;60,"Middle Age",F672&gt;=60,"Old")</f>
        <v>Old</v>
      </c>
      <c r="H672" s="5" t="s">
        <v>2044</v>
      </c>
      <c r="I672" s="5" t="s">
        <v>2053</v>
      </c>
      <c r="J672" s="5" t="s">
        <v>2017</v>
      </c>
      <c r="K672" s="5" t="str">
        <f>VLOOKUP(J672,Sheet2!$A$1:$B$11,2,FALSE)</f>
        <v>Casual Wear</v>
      </c>
      <c r="L672" s="5">
        <v>3</v>
      </c>
      <c r="M672" s="6">
        <v>523</v>
      </c>
      <c r="N672" s="6">
        <v>1569</v>
      </c>
      <c r="O672" s="7">
        <v>0.2</v>
      </c>
      <c r="P672" s="8">
        <f t="shared" si="20"/>
        <v>313.8</v>
      </c>
      <c r="Q672" s="9">
        <f t="shared" si="21"/>
        <v>1255.2</v>
      </c>
      <c r="R672" s="5">
        <v>25</v>
      </c>
      <c r="S672" s="5" t="s">
        <v>2033</v>
      </c>
      <c r="T672" s="5" t="s">
        <v>2036</v>
      </c>
    </row>
    <row r="673" spans="1:20" x14ac:dyDescent="0.25">
      <c r="A673" s="5" t="s">
        <v>686</v>
      </c>
      <c r="B673" s="10">
        <v>45439</v>
      </c>
      <c r="C673" s="5" t="s">
        <v>1016</v>
      </c>
      <c r="D673" s="11" t="s">
        <v>1689</v>
      </c>
      <c r="E673" s="5" t="s">
        <v>2722</v>
      </c>
      <c r="F673" s="5">
        <v>45</v>
      </c>
      <c r="G673" s="5" t="str" cm="1">
        <f t="array" ref="G673">_xlfn.IFS(F673&lt;12,"Child",F673&lt;18,"Teen",F673&lt;25,"Young",F673&lt;40,"Adult",F673&lt;60,"Middle Age",F673&gt;=60,"Old")</f>
        <v>Middle Age</v>
      </c>
      <c r="H673" s="5" t="s">
        <v>2044</v>
      </c>
      <c r="I673" s="5" t="s">
        <v>2053</v>
      </c>
      <c r="J673" s="5" t="s">
        <v>2024</v>
      </c>
      <c r="K673" s="5" t="str">
        <f>VLOOKUP(J673,Sheet2!$A$1:$B$11,2,FALSE)</f>
        <v>Fashion Accessories</v>
      </c>
      <c r="L673" s="5">
        <v>1</v>
      </c>
      <c r="M673" s="6">
        <v>963</v>
      </c>
      <c r="N673" s="6">
        <v>963</v>
      </c>
      <c r="O673" s="7">
        <v>0.05</v>
      </c>
      <c r="P673" s="8">
        <f t="shared" si="20"/>
        <v>48.150000000000006</v>
      </c>
      <c r="Q673" s="9">
        <f t="shared" si="21"/>
        <v>914.85</v>
      </c>
      <c r="R673" s="5">
        <v>18</v>
      </c>
      <c r="S673" s="5" t="s">
        <v>2034</v>
      </c>
      <c r="T673" s="5" t="s">
        <v>2037</v>
      </c>
    </row>
    <row r="674" spans="1:20" x14ac:dyDescent="0.25">
      <c r="A674" s="5" t="s">
        <v>687</v>
      </c>
      <c r="B674" s="10">
        <v>45538</v>
      </c>
      <c r="C674" s="5" t="s">
        <v>1019</v>
      </c>
      <c r="D674" s="11" t="s">
        <v>1690</v>
      </c>
      <c r="E674" s="5" t="s">
        <v>2723</v>
      </c>
      <c r="F674" s="5">
        <v>60</v>
      </c>
      <c r="G674" s="5" t="str" cm="1">
        <f t="array" ref="G674">_xlfn.IFS(F674&lt;12,"Child",F674&lt;18,"Teen",F674&lt;25,"Young",F674&lt;40,"Adult",F674&lt;60,"Middle Age",F674&gt;=60,"Old")</f>
        <v>Old</v>
      </c>
      <c r="H674" s="5" t="s">
        <v>2043</v>
      </c>
      <c r="I674" s="5" t="s">
        <v>2047</v>
      </c>
      <c r="J674" s="5" t="s">
        <v>2017</v>
      </c>
      <c r="K674" s="5" t="str">
        <f>VLOOKUP(J674,Sheet2!$A$1:$B$11,2,FALSE)</f>
        <v>Casual Wear</v>
      </c>
      <c r="L674" s="5">
        <v>1</v>
      </c>
      <c r="M674" s="6">
        <v>810</v>
      </c>
      <c r="N674" s="6">
        <v>810</v>
      </c>
      <c r="O674" s="7">
        <v>0.05</v>
      </c>
      <c r="P674" s="8">
        <f t="shared" si="20"/>
        <v>40.5</v>
      </c>
      <c r="Q674" s="9">
        <f t="shared" si="21"/>
        <v>769.5</v>
      </c>
      <c r="R674" s="5">
        <v>15</v>
      </c>
      <c r="S674" s="5" t="s">
        <v>2034</v>
      </c>
      <c r="T674" s="5" t="s">
        <v>2036</v>
      </c>
    </row>
    <row r="675" spans="1:20" x14ac:dyDescent="0.25">
      <c r="A675" s="5" t="s">
        <v>688</v>
      </c>
      <c r="B675" s="10">
        <v>45522</v>
      </c>
      <c r="C675" s="5" t="s">
        <v>1015</v>
      </c>
      <c r="D675" s="11" t="s">
        <v>1691</v>
      </c>
      <c r="E675" s="5" t="s">
        <v>2724</v>
      </c>
      <c r="F675" s="5">
        <v>59</v>
      </c>
      <c r="G675" s="5" t="str" cm="1">
        <f t="array" ref="G675">_xlfn.IFS(F675&lt;12,"Child",F675&lt;18,"Teen",F675&lt;25,"Young",F675&lt;40,"Adult",F675&lt;60,"Middle Age",F675&gt;=60,"Old")</f>
        <v>Middle Age</v>
      </c>
      <c r="H675" s="5" t="s">
        <v>2044</v>
      </c>
      <c r="I675" s="5" t="s">
        <v>2048</v>
      </c>
      <c r="J675" s="5" t="s">
        <v>2021</v>
      </c>
      <c r="K675" s="5" t="str">
        <f>VLOOKUP(J675,Sheet2!$A$1:$B$11,2,FALSE)</f>
        <v>Casual Wear</v>
      </c>
      <c r="L675" s="5">
        <v>2</v>
      </c>
      <c r="M675" s="6">
        <v>872</v>
      </c>
      <c r="N675" s="6">
        <v>1744</v>
      </c>
      <c r="O675" s="7">
        <v>0.1</v>
      </c>
      <c r="P675" s="8">
        <f t="shared" si="20"/>
        <v>174.4</v>
      </c>
      <c r="Q675" s="9">
        <f t="shared" si="21"/>
        <v>1569.6</v>
      </c>
      <c r="R675" s="5">
        <v>31</v>
      </c>
      <c r="S675" s="5" t="s">
        <v>2032</v>
      </c>
      <c r="T675" s="5" t="s">
        <v>2037</v>
      </c>
    </row>
    <row r="676" spans="1:20" x14ac:dyDescent="0.25">
      <c r="A676" s="5" t="s">
        <v>689</v>
      </c>
      <c r="B676" s="10">
        <v>45355</v>
      </c>
      <c r="C676" s="5" t="s">
        <v>1016</v>
      </c>
      <c r="D676" s="11" t="s">
        <v>1692</v>
      </c>
      <c r="E676" s="5" t="s">
        <v>2725</v>
      </c>
      <c r="F676" s="5">
        <v>55</v>
      </c>
      <c r="G676" s="5" t="str" cm="1">
        <f t="array" ref="G676">_xlfn.IFS(F676&lt;12,"Child",F676&lt;18,"Teen",F676&lt;25,"Young",F676&lt;40,"Adult",F676&lt;60,"Middle Age",F676&gt;=60,"Old")</f>
        <v>Middle Age</v>
      </c>
      <c r="H676" s="5" t="s">
        <v>2044</v>
      </c>
      <c r="I676" s="5" t="s">
        <v>2050</v>
      </c>
      <c r="J676" s="5" t="s">
        <v>2025</v>
      </c>
      <c r="K676" s="5" t="str">
        <f>VLOOKUP(J676,Sheet2!$A$1:$B$11,2,FALSE)</f>
        <v>Formal Wear</v>
      </c>
      <c r="L676" s="5">
        <v>5</v>
      </c>
      <c r="M676" s="6">
        <v>1094</v>
      </c>
      <c r="N676" s="6">
        <v>5470</v>
      </c>
      <c r="O676" s="7">
        <v>0</v>
      </c>
      <c r="P676" s="8">
        <f t="shared" si="20"/>
        <v>0</v>
      </c>
      <c r="Q676" s="9">
        <f t="shared" si="21"/>
        <v>5470</v>
      </c>
      <c r="R676" s="5">
        <v>109</v>
      </c>
      <c r="S676" s="5" t="s">
        <v>2033</v>
      </c>
      <c r="T676" s="5" t="s">
        <v>2037</v>
      </c>
    </row>
    <row r="677" spans="1:20" x14ac:dyDescent="0.25">
      <c r="A677" s="5" t="s">
        <v>690</v>
      </c>
      <c r="B677" s="10">
        <v>45422</v>
      </c>
      <c r="C677" s="5" t="s">
        <v>1014</v>
      </c>
      <c r="D677" s="11" t="s">
        <v>1693</v>
      </c>
      <c r="E677" s="5" t="s">
        <v>2726</v>
      </c>
      <c r="F677" s="5">
        <v>38</v>
      </c>
      <c r="G677" s="5" t="str" cm="1">
        <f t="array" ref="G677">_xlfn.IFS(F677&lt;12,"Child",F677&lt;18,"Teen",F677&lt;25,"Young",F677&lt;40,"Adult",F677&lt;60,"Middle Age",F677&gt;=60,"Old")</f>
        <v>Adult</v>
      </c>
      <c r="H677" s="5" t="s">
        <v>2044</v>
      </c>
      <c r="I677" s="5" t="s">
        <v>2047</v>
      </c>
      <c r="J677" s="5" t="s">
        <v>2019</v>
      </c>
      <c r="K677" s="5" t="str">
        <f>VLOOKUP(J677,Sheet2!$A$1:$B$11,2,FALSE)</f>
        <v>Formal Wear</v>
      </c>
      <c r="L677" s="5">
        <v>1</v>
      </c>
      <c r="M677" s="6">
        <v>1029</v>
      </c>
      <c r="N677" s="6">
        <v>1029</v>
      </c>
      <c r="O677" s="7">
        <v>0.2</v>
      </c>
      <c r="P677" s="8">
        <f t="shared" si="20"/>
        <v>205.8</v>
      </c>
      <c r="Q677" s="9">
        <f t="shared" si="21"/>
        <v>823.2</v>
      </c>
      <c r="R677" s="5">
        <v>16</v>
      </c>
      <c r="S677" s="5" t="s">
        <v>2032</v>
      </c>
      <c r="T677" s="5" t="s">
        <v>2037</v>
      </c>
    </row>
    <row r="678" spans="1:20" x14ac:dyDescent="0.25">
      <c r="A678" s="5" t="s">
        <v>691</v>
      </c>
      <c r="B678" s="10">
        <v>45371</v>
      </c>
      <c r="C678" s="5" t="s">
        <v>1017</v>
      </c>
      <c r="D678" s="11" t="s">
        <v>1694</v>
      </c>
      <c r="E678" s="5" t="s">
        <v>2727</v>
      </c>
      <c r="F678" s="5">
        <v>53</v>
      </c>
      <c r="G678" s="5" t="str" cm="1">
        <f t="array" ref="G678">_xlfn.IFS(F678&lt;12,"Child",F678&lt;18,"Teen",F678&lt;25,"Young",F678&lt;40,"Adult",F678&lt;60,"Middle Age",F678&gt;=60,"Old")</f>
        <v>Middle Age</v>
      </c>
      <c r="H678" s="5" t="s">
        <v>2043</v>
      </c>
      <c r="I678" s="5" t="s">
        <v>2051</v>
      </c>
      <c r="J678" s="5" t="s">
        <v>2022</v>
      </c>
      <c r="K678" s="5" t="str">
        <f>VLOOKUP(J678,Sheet2!$A$1:$B$11,2,FALSE)</f>
        <v>Sportswear</v>
      </c>
      <c r="L678" s="5">
        <v>4</v>
      </c>
      <c r="M678" s="6">
        <v>304</v>
      </c>
      <c r="N678" s="6">
        <v>1216</v>
      </c>
      <c r="O678" s="7">
        <v>0.15</v>
      </c>
      <c r="P678" s="8">
        <f t="shared" si="20"/>
        <v>182.4</v>
      </c>
      <c r="Q678" s="9">
        <f t="shared" si="21"/>
        <v>1033.5999999999999</v>
      </c>
      <c r="R678" s="5">
        <v>20</v>
      </c>
      <c r="S678" s="5" t="s">
        <v>2033</v>
      </c>
      <c r="T678" s="5" t="s">
        <v>2037</v>
      </c>
    </row>
    <row r="679" spans="1:20" x14ac:dyDescent="0.25">
      <c r="A679" s="5" t="s">
        <v>692</v>
      </c>
      <c r="B679" s="10">
        <v>45704</v>
      </c>
      <c r="C679" s="5" t="s">
        <v>1015</v>
      </c>
      <c r="D679" s="11" t="s">
        <v>1695</v>
      </c>
      <c r="E679" s="5" t="s">
        <v>2728</v>
      </c>
      <c r="F679" s="5">
        <v>37</v>
      </c>
      <c r="G679" s="5" t="str" cm="1">
        <f t="array" ref="G679">_xlfn.IFS(F679&lt;12,"Child",F679&lt;18,"Teen",F679&lt;25,"Young",F679&lt;40,"Adult",F679&lt;60,"Middle Age",F679&gt;=60,"Old")</f>
        <v>Adult</v>
      </c>
      <c r="H679" s="5" t="s">
        <v>2043</v>
      </c>
      <c r="I679" s="5" t="s">
        <v>2015</v>
      </c>
      <c r="J679" s="5" t="s">
        <v>2020</v>
      </c>
      <c r="K679" s="5" t="str">
        <f>VLOOKUP(J679,Sheet2!$A$1:$B$11,2,FALSE)</f>
        <v>Summer Wear</v>
      </c>
      <c r="L679" s="5">
        <v>1</v>
      </c>
      <c r="M679" s="6">
        <v>804</v>
      </c>
      <c r="N679" s="6">
        <v>804</v>
      </c>
      <c r="O679" s="7">
        <v>0.15</v>
      </c>
      <c r="P679" s="8">
        <f t="shared" si="20"/>
        <v>120.6</v>
      </c>
      <c r="Q679" s="9">
        <f t="shared" si="21"/>
        <v>683.4</v>
      </c>
      <c r="R679" s="5">
        <v>13</v>
      </c>
      <c r="S679" s="5" t="s">
        <v>2033</v>
      </c>
      <c r="T679" s="5" t="s">
        <v>2037</v>
      </c>
    </row>
    <row r="680" spans="1:20" x14ac:dyDescent="0.25">
      <c r="A680" s="5" t="s">
        <v>693</v>
      </c>
      <c r="B680" s="10">
        <v>45480</v>
      </c>
      <c r="C680" s="5" t="s">
        <v>1015</v>
      </c>
      <c r="D680" s="11" t="s">
        <v>1696</v>
      </c>
      <c r="E680" s="5" t="s">
        <v>2729</v>
      </c>
      <c r="F680" s="5">
        <v>54</v>
      </c>
      <c r="G680" s="5" t="str" cm="1">
        <f t="array" ref="G680">_xlfn.IFS(F680&lt;12,"Child",F680&lt;18,"Teen",F680&lt;25,"Young",F680&lt;40,"Adult",F680&lt;60,"Middle Age",F680&gt;=60,"Old")</f>
        <v>Middle Age</v>
      </c>
      <c r="H680" s="5" t="s">
        <v>2043</v>
      </c>
      <c r="I680" s="5" t="s">
        <v>2051</v>
      </c>
      <c r="J680" s="5" t="s">
        <v>2023</v>
      </c>
      <c r="K680" s="5" t="str">
        <f>VLOOKUP(J680,Sheet2!$A$1:$B$11,2,FALSE)</f>
        <v>Formal Wear</v>
      </c>
      <c r="L680" s="5">
        <v>4</v>
      </c>
      <c r="M680" s="6">
        <v>177</v>
      </c>
      <c r="N680" s="6">
        <v>708</v>
      </c>
      <c r="O680" s="7">
        <v>0.1</v>
      </c>
      <c r="P680" s="8">
        <f t="shared" si="20"/>
        <v>70.8</v>
      </c>
      <c r="Q680" s="9">
        <f t="shared" si="21"/>
        <v>637.20000000000005</v>
      </c>
      <c r="R680" s="5">
        <v>12</v>
      </c>
      <c r="S680" s="5" t="s">
        <v>2033</v>
      </c>
      <c r="T680" s="5" t="s">
        <v>2036</v>
      </c>
    </row>
    <row r="681" spans="1:20" x14ac:dyDescent="0.25">
      <c r="A681" s="5" t="s">
        <v>694</v>
      </c>
      <c r="B681" s="10">
        <v>45452</v>
      </c>
      <c r="C681" s="5" t="s">
        <v>1015</v>
      </c>
      <c r="D681" s="11" t="s">
        <v>1697</v>
      </c>
      <c r="E681" s="5" t="s">
        <v>2730</v>
      </c>
      <c r="F681" s="5">
        <v>50</v>
      </c>
      <c r="G681" s="5" t="str" cm="1">
        <f t="array" ref="G681">_xlfn.IFS(F681&lt;12,"Child",F681&lt;18,"Teen",F681&lt;25,"Young",F681&lt;40,"Adult",F681&lt;60,"Middle Age",F681&gt;=60,"Old")</f>
        <v>Middle Age</v>
      </c>
      <c r="H681" s="5" t="s">
        <v>2043</v>
      </c>
      <c r="I681" s="5" t="s">
        <v>2049</v>
      </c>
      <c r="J681" s="5" t="s">
        <v>2025</v>
      </c>
      <c r="K681" s="5" t="str">
        <f>VLOOKUP(J681,Sheet2!$A$1:$B$11,2,FALSE)</f>
        <v>Formal Wear</v>
      </c>
      <c r="L681" s="5">
        <v>5</v>
      </c>
      <c r="M681" s="6">
        <v>1184</v>
      </c>
      <c r="N681" s="6">
        <v>5920</v>
      </c>
      <c r="O681" s="7">
        <v>0.2</v>
      </c>
      <c r="P681" s="8">
        <f t="shared" si="20"/>
        <v>1184</v>
      </c>
      <c r="Q681" s="9">
        <f t="shared" si="21"/>
        <v>4736</v>
      </c>
      <c r="R681" s="5">
        <v>94</v>
      </c>
      <c r="S681" s="5" t="s">
        <v>2034</v>
      </c>
      <c r="T681" s="5" t="s">
        <v>2036</v>
      </c>
    </row>
    <row r="682" spans="1:20" x14ac:dyDescent="0.25">
      <c r="A682" s="5" t="s">
        <v>695</v>
      </c>
      <c r="B682" s="10">
        <v>45641</v>
      </c>
      <c r="C682" s="5" t="s">
        <v>1015</v>
      </c>
      <c r="D682" s="11" t="s">
        <v>1698</v>
      </c>
      <c r="E682" s="5" t="s">
        <v>2731</v>
      </c>
      <c r="F682" s="5">
        <v>49</v>
      </c>
      <c r="G682" s="5" t="str" cm="1">
        <f t="array" ref="G682">_xlfn.IFS(F682&lt;12,"Child",F682&lt;18,"Teen",F682&lt;25,"Young",F682&lt;40,"Adult",F682&lt;60,"Middle Age",F682&gt;=60,"Old")</f>
        <v>Middle Age</v>
      </c>
      <c r="H682" s="5" t="s">
        <v>2043</v>
      </c>
      <c r="I682" s="5" t="s">
        <v>2047</v>
      </c>
      <c r="J682" s="5" t="s">
        <v>2022</v>
      </c>
      <c r="K682" s="5" t="str">
        <f>VLOOKUP(J682,Sheet2!$A$1:$B$11,2,FALSE)</f>
        <v>Sportswear</v>
      </c>
      <c r="L682" s="5">
        <v>4</v>
      </c>
      <c r="M682" s="6">
        <v>400</v>
      </c>
      <c r="N682" s="6">
        <v>1600</v>
      </c>
      <c r="O682" s="7">
        <v>0</v>
      </c>
      <c r="P682" s="8">
        <f t="shared" si="20"/>
        <v>0</v>
      </c>
      <c r="Q682" s="9">
        <f t="shared" si="21"/>
        <v>1600</v>
      </c>
      <c r="R682" s="5">
        <v>32</v>
      </c>
      <c r="S682" s="5" t="s">
        <v>2032</v>
      </c>
      <c r="T682" s="5" t="s">
        <v>2035</v>
      </c>
    </row>
    <row r="683" spans="1:20" x14ac:dyDescent="0.25">
      <c r="A683" s="5" t="s">
        <v>696</v>
      </c>
      <c r="B683" s="10">
        <v>45664</v>
      </c>
      <c r="C683" s="5" t="s">
        <v>1019</v>
      </c>
      <c r="D683" s="11" t="s">
        <v>1699</v>
      </c>
      <c r="E683" s="5" t="s">
        <v>2732</v>
      </c>
      <c r="F683" s="5">
        <v>57</v>
      </c>
      <c r="G683" s="5" t="str" cm="1">
        <f t="array" ref="G683">_xlfn.IFS(F683&lt;12,"Child",F683&lt;18,"Teen",F683&lt;25,"Young",F683&lt;40,"Adult",F683&lt;60,"Middle Age",F683&gt;=60,"Old")</f>
        <v>Middle Age</v>
      </c>
      <c r="H683" s="5" t="s">
        <v>2044</v>
      </c>
      <c r="I683" s="5" t="s">
        <v>2051</v>
      </c>
      <c r="J683" s="5" t="s">
        <v>2024</v>
      </c>
      <c r="K683" s="5" t="str">
        <f>VLOOKUP(J683,Sheet2!$A$1:$B$11,2,FALSE)</f>
        <v>Fashion Accessories</v>
      </c>
      <c r="L683" s="5">
        <v>5</v>
      </c>
      <c r="M683" s="6">
        <v>650</v>
      </c>
      <c r="N683" s="6">
        <v>3250</v>
      </c>
      <c r="O683" s="7">
        <v>0.1</v>
      </c>
      <c r="P683" s="8">
        <f t="shared" si="20"/>
        <v>325</v>
      </c>
      <c r="Q683" s="9">
        <f t="shared" si="21"/>
        <v>2925</v>
      </c>
      <c r="R683" s="5">
        <v>58</v>
      </c>
      <c r="S683" s="5" t="s">
        <v>2032</v>
      </c>
      <c r="T683" s="5" t="s">
        <v>2035</v>
      </c>
    </row>
    <row r="684" spans="1:20" x14ac:dyDescent="0.25">
      <c r="A684" s="5" t="s">
        <v>697</v>
      </c>
      <c r="B684" s="10">
        <v>45437</v>
      </c>
      <c r="C684" s="5" t="s">
        <v>1020</v>
      </c>
      <c r="D684" s="11" t="s">
        <v>1700</v>
      </c>
      <c r="E684" s="5" t="s">
        <v>2733</v>
      </c>
      <c r="F684" s="5">
        <v>19</v>
      </c>
      <c r="G684" s="5" t="str" cm="1">
        <f t="array" ref="G684">_xlfn.IFS(F684&lt;12,"Child",F684&lt;18,"Teen",F684&lt;25,"Young",F684&lt;40,"Adult",F684&lt;60,"Middle Age",F684&gt;=60,"Old")</f>
        <v>Young</v>
      </c>
      <c r="H684" s="5" t="s">
        <v>2044</v>
      </c>
      <c r="I684" s="5" t="s">
        <v>2052</v>
      </c>
      <c r="J684" s="5" t="s">
        <v>2023</v>
      </c>
      <c r="K684" s="5" t="str">
        <f>VLOOKUP(J684,Sheet2!$A$1:$B$11,2,FALSE)</f>
        <v>Formal Wear</v>
      </c>
      <c r="L684" s="5">
        <v>3</v>
      </c>
      <c r="M684" s="6">
        <v>545</v>
      </c>
      <c r="N684" s="6">
        <v>1635</v>
      </c>
      <c r="O684" s="7">
        <v>0.1</v>
      </c>
      <c r="P684" s="8">
        <f t="shared" si="20"/>
        <v>163.5</v>
      </c>
      <c r="Q684" s="9">
        <f t="shared" si="21"/>
        <v>1471.5</v>
      </c>
      <c r="R684" s="5">
        <v>29</v>
      </c>
      <c r="S684" s="5" t="s">
        <v>2034</v>
      </c>
      <c r="T684" s="5" t="s">
        <v>2037</v>
      </c>
    </row>
    <row r="685" spans="1:20" x14ac:dyDescent="0.25">
      <c r="A685" s="5" t="s">
        <v>698</v>
      </c>
      <c r="B685" s="10">
        <v>45616</v>
      </c>
      <c r="C685" s="5" t="s">
        <v>1017</v>
      </c>
      <c r="D685" s="11" t="s">
        <v>1701</v>
      </c>
      <c r="E685" s="5" t="s">
        <v>2734</v>
      </c>
      <c r="F685" s="5">
        <v>41</v>
      </c>
      <c r="G685" s="5" t="str" cm="1">
        <f t="array" ref="G685">_xlfn.IFS(F685&lt;12,"Child",F685&lt;18,"Teen",F685&lt;25,"Young",F685&lt;40,"Adult",F685&lt;60,"Middle Age",F685&gt;=60,"Old")</f>
        <v>Middle Age</v>
      </c>
      <c r="H685" s="5" t="s">
        <v>2043</v>
      </c>
      <c r="I685" s="5" t="s">
        <v>2051</v>
      </c>
      <c r="J685" s="5" t="s">
        <v>2022</v>
      </c>
      <c r="K685" s="5" t="str">
        <f>VLOOKUP(J685,Sheet2!$A$1:$B$11,2,FALSE)</f>
        <v>Sportswear</v>
      </c>
      <c r="L685" s="5">
        <v>5</v>
      </c>
      <c r="M685" s="6">
        <v>1125</v>
      </c>
      <c r="N685" s="6">
        <v>5625</v>
      </c>
      <c r="O685" s="7">
        <v>0</v>
      </c>
      <c r="P685" s="8">
        <f t="shared" si="20"/>
        <v>0</v>
      </c>
      <c r="Q685" s="9">
        <f t="shared" si="21"/>
        <v>5625</v>
      </c>
      <c r="R685" s="5">
        <v>112</v>
      </c>
      <c r="S685" s="5" t="s">
        <v>2034</v>
      </c>
      <c r="T685" s="5" t="s">
        <v>2036</v>
      </c>
    </row>
    <row r="686" spans="1:20" x14ac:dyDescent="0.25">
      <c r="A686" s="5" t="s">
        <v>699</v>
      </c>
      <c r="B686" s="10">
        <v>45612</v>
      </c>
      <c r="C686" s="5" t="s">
        <v>1020</v>
      </c>
      <c r="D686" s="11" t="s">
        <v>1702</v>
      </c>
      <c r="E686" s="5" t="s">
        <v>2735</v>
      </c>
      <c r="F686" s="5">
        <v>43</v>
      </c>
      <c r="G686" s="5" t="str" cm="1">
        <f t="array" ref="G686">_xlfn.IFS(F686&lt;12,"Child",F686&lt;18,"Teen",F686&lt;25,"Young",F686&lt;40,"Adult",F686&lt;60,"Middle Age",F686&gt;=60,"Old")</f>
        <v>Middle Age</v>
      </c>
      <c r="H686" s="5" t="s">
        <v>2044</v>
      </c>
      <c r="I686" s="5" t="s">
        <v>2050</v>
      </c>
      <c r="J686" s="5" t="s">
        <v>2020</v>
      </c>
      <c r="K686" s="5" t="str">
        <f>VLOOKUP(J686,Sheet2!$A$1:$B$11,2,FALSE)</f>
        <v>Summer Wear</v>
      </c>
      <c r="L686" s="5">
        <v>4</v>
      </c>
      <c r="M686" s="6">
        <v>896</v>
      </c>
      <c r="N686" s="6">
        <v>3584</v>
      </c>
      <c r="O686" s="7">
        <v>0.2</v>
      </c>
      <c r="P686" s="8">
        <f t="shared" si="20"/>
        <v>716.80000000000007</v>
      </c>
      <c r="Q686" s="9">
        <f t="shared" si="21"/>
        <v>2867.2</v>
      </c>
      <c r="R686" s="5">
        <v>57</v>
      </c>
      <c r="S686" s="5" t="s">
        <v>2032</v>
      </c>
      <c r="T686" s="5" t="s">
        <v>2035</v>
      </c>
    </row>
    <row r="687" spans="1:20" x14ac:dyDescent="0.25">
      <c r="A687" s="5" t="s">
        <v>700</v>
      </c>
      <c r="B687" s="10">
        <v>45659</v>
      </c>
      <c r="C687" s="5" t="s">
        <v>1018</v>
      </c>
      <c r="D687" s="11" t="s">
        <v>1703</v>
      </c>
      <c r="E687" s="5" t="s">
        <v>2736</v>
      </c>
      <c r="F687" s="5">
        <v>33</v>
      </c>
      <c r="G687" s="5" t="str" cm="1">
        <f t="array" ref="G687">_xlfn.IFS(F687&lt;12,"Child",F687&lt;18,"Teen",F687&lt;25,"Young",F687&lt;40,"Adult",F687&lt;60,"Middle Age",F687&gt;=60,"Old")</f>
        <v>Adult</v>
      </c>
      <c r="H687" s="5" t="s">
        <v>2043</v>
      </c>
      <c r="I687" s="5" t="s">
        <v>2047</v>
      </c>
      <c r="J687" s="5" t="s">
        <v>2017</v>
      </c>
      <c r="K687" s="5" t="str">
        <f>VLOOKUP(J687,Sheet2!$A$1:$B$11,2,FALSE)</f>
        <v>Casual Wear</v>
      </c>
      <c r="L687" s="5">
        <v>4</v>
      </c>
      <c r="M687" s="6">
        <v>870</v>
      </c>
      <c r="N687" s="6">
        <v>3480</v>
      </c>
      <c r="O687" s="7">
        <v>0.2</v>
      </c>
      <c r="P687" s="8">
        <f t="shared" si="20"/>
        <v>696</v>
      </c>
      <c r="Q687" s="9">
        <f t="shared" si="21"/>
        <v>2784</v>
      </c>
      <c r="R687" s="5">
        <v>55</v>
      </c>
      <c r="S687" s="5" t="s">
        <v>2033</v>
      </c>
      <c r="T687" s="5" t="s">
        <v>2037</v>
      </c>
    </row>
    <row r="688" spans="1:20" x14ac:dyDescent="0.25">
      <c r="A688" s="5" t="s">
        <v>701</v>
      </c>
      <c r="B688" s="10">
        <v>45695</v>
      </c>
      <c r="C688" s="5" t="s">
        <v>1014</v>
      </c>
      <c r="D688" s="11" t="s">
        <v>1704</v>
      </c>
      <c r="E688" s="5" t="s">
        <v>2737</v>
      </c>
      <c r="F688" s="5">
        <v>44</v>
      </c>
      <c r="G688" s="5" t="str" cm="1">
        <f t="array" ref="G688">_xlfn.IFS(F688&lt;12,"Child",F688&lt;18,"Teen",F688&lt;25,"Young",F688&lt;40,"Adult",F688&lt;60,"Middle Age",F688&gt;=60,"Old")</f>
        <v>Middle Age</v>
      </c>
      <c r="H688" s="5" t="s">
        <v>2043</v>
      </c>
      <c r="I688" s="5" t="s">
        <v>2047</v>
      </c>
      <c r="J688" s="5" t="s">
        <v>2022</v>
      </c>
      <c r="K688" s="5" t="str">
        <f>VLOOKUP(J688,Sheet2!$A$1:$B$11,2,FALSE)</f>
        <v>Sportswear</v>
      </c>
      <c r="L688" s="5">
        <v>4</v>
      </c>
      <c r="M688" s="6">
        <v>412</v>
      </c>
      <c r="N688" s="6">
        <v>1648</v>
      </c>
      <c r="O688" s="7">
        <v>0.1</v>
      </c>
      <c r="P688" s="8">
        <f t="shared" si="20"/>
        <v>164.8</v>
      </c>
      <c r="Q688" s="9">
        <f t="shared" si="21"/>
        <v>1483.2</v>
      </c>
      <c r="R688" s="5">
        <v>29</v>
      </c>
      <c r="S688" s="5" t="s">
        <v>2032</v>
      </c>
      <c r="T688" s="5" t="s">
        <v>2036</v>
      </c>
    </row>
    <row r="689" spans="1:20" x14ac:dyDescent="0.25">
      <c r="A689" s="5" t="s">
        <v>702</v>
      </c>
      <c r="B689" s="10">
        <v>45582</v>
      </c>
      <c r="C689" s="5" t="s">
        <v>1018</v>
      </c>
      <c r="D689" s="11" t="s">
        <v>1705</v>
      </c>
      <c r="E689" s="5" t="s">
        <v>2738</v>
      </c>
      <c r="F689" s="5">
        <v>53</v>
      </c>
      <c r="G689" s="5" t="str" cm="1">
        <f t="array" ref="G689">_xlfn.IFS(F689&lt;12,"Child",F689&lt;18,"Teen",F689&lt;25,"Young",F689&lt;40,"Adult",F689&lt;60,"Middle Age",F689&gt;=60,"Old")</f>
        <v>Middle Age</v>
      </c>
      <c r="H689" s="5" t="s">
        <v>2043</v>
      </c>
      <c r="I689" s="5" t="s">
        <v>2050</v>
      </c>
      <c r="J689" s="5" t="s">
        <v>2016</v>
      </c>
      <c r="K689" s="5" t="str">
        <f>VLOOKUP(J689,Sheet2!$A$1:$B$11,2,FALSE)</f>
        <v>Winter Wear</v>
      </c>
      <c r="L689" s="5">
        <v>4</v>
      </c>
      <c r="M689" s="6">
        <v>1053</v>
      </c>
      <c r="N689" s="6">
        <v>4212</v>
      </c>
      <c r="O689" s="7">
        <v>0.05</v>
      </c>
      <c r="P689" s="8">
        <f t="shared" si="20"/>
        <v>210.60000000000002</v>
      </c>
      <c r="Q689" s="9">
        <f t="shared" si="21"/>
        <v>4001.4</v>
      </c>
      <c r="R689" s="5">
        <v>80</v>
      </c>
      <c r="S689" s="5" t="s">
        <v>2034</v>
      </c>
      <c r="T689" s="5" t="s">
        <v>2035</v>
      </c>
    </row>
    <row r="690" spans="1:20" x14ac:dyDescent="0.25">
      <c r="A690" s="5" t="s">
        <v>703</v>
      </c>
      <c r="B690" s="10">
        <v>45679</v>
      </c>
      <c r="C690" s="5" t="s">
        <v>1017</v>
      </c>
      <c r="D690" s="11" t="s">
        <v>1706</v>
      </c>
      <c r="E690" s="5" t="s">
        <v>2739</v>
      </c>
      <c r="F690" s="5">
        <v>53</v>
      </c>
      <c r="G690" s="5" t="str" cm="1">
        <f t="array" ref="G690">_xlfn.IFS(F690&lt;12,"Child",F690&lt;18,"Teen",F690&lt;25,"Young",F690&lt;40,"Adult",F690&lt;60,"Middle Age",F690&gt;=60,"Old")</f>
        <v>Middle Age</v>
      </c>
      <c r="H690" s="5" t="s">
        <v>2044</v>
      </c>
      <c r="I690" s="5" t="s">
        <v>2051</v>
      </c>
      <c r="J690" s="5" t="s">
        <v>2024</v>
      </c>
      <c r="K690" s="5" t="str">
        <f>VLOOKUP(J690,Sheet2!$A$1:$B$11,2,FALSE)</f>
        <v>Fashion Accessories</v>
      </c>
      <c r="L690" s="5">
        <v>5</v>
      </c>
      <c r="M690" s="6">
        <v>1041</v>
      </c>
      <c r="N690" s="6">
        <v>5205</v>
      </c>
      <c r="O690" s="7">
        <v>0.15</v>
      </c>
      <c r="P690" s="8">
        <f t="shared" si="20"/>
        <v>780.75</v>
      </c>
      <c r="Q690" s="9">
        <f t="shared" si="21"/>
        <v>4424.25</v>
      </c>
      <c r="R690" s="5">
        <v>88</v>
      </c>
      <c r="S690" s="5" t="s">
        <v>2033</v>
      </c>
      <c r="T690" s="5" t="s">
        <v>2036</v>
      </c>
    </row>
    <row r="691" spans="1:20" x14ac:dyDescent="0.25">
      <c r="A691" s="5" t="s">
        <v>704</v>
      </c>
      <c r="B691" s="10">
        <v>45596</v>
      </c>
      <c r="C691" s="5" t="s">
        <v>1018</v>
      </c>
      <c r="D691" s="11" t="s">
        <v>1707</v>
      </c>
      <c r="E691" s="5" t="s">
        <v>2740</v>
      </c>
      <c r="F691" s="5">
        <v>23</v>
      </c>
      <c r="G691" s="5" t="str" cm="1">
        <f t="array" ref="G691">_xlfn.IFS(F691&lt;12,"Child",F691&lt;18,"Teen",F691&lt;25,"Young",F691&lt;40,"Adult",F691&lt;60,"Middle Age",F691&gt;=60,"Old")</f>
        <v>Young</v>
      </c>
      <c r="H691" s="5" t="s">
        <v>2044</v>
      </c>
      <c r="I691" s="5" t="s">
        <v>2050</v>
      </c>
      <c r="J691" s="5" t="s">
        <v>2020</v>
      </c>
      <c r="K691" s="5" t="str">
        <f>VLOOKUP(J691,Sheet2!$A$1:$B$11,2,FALSE)</f>
        <v>Summer Wear</v>
      </c>
      <c r="L691" s="5">
        <v>2</v>
      </c>
      <c r="M691" s="6">
        <v>848</v>
      </c>
      <c r="N691" s="6">
        <v>1696</v>
      </c>
      <c r="O691" s="7">
        <v>0.05</v>
      </c>
      <c r="P691" s="8">
        <f t="shared" si="20"/>
        <v>84.800000000000011</v>
      </c>
      <c r="Q691" s="9">
        <f t="shared" si="21"/>
        <v>1611.2</v>
      </c>
      <c r="R691" s="5">
        <v>32</v>
      </c>
      <c r="S691" s="5" t="s">
        <v>2033</v>
      </c>
      <c r="T691" s="5" t="s">
        <v>2036</v>
      </c>
    </row>
    <row r="692" spans="1:20" x14ac:dyDescent="0.25">
      <c r="A692" s="5" t="s">
        <v>705</v>
      </c>
      <c r="B692" s="10">
        <v>45366</v>
      </c>
      <c r="C692" s="5" t="s">
        <v>1014</v>
      </c>
      <c r="D692" s="11" t="s">
        <v>1708</v>
      </c>
      <c r="E692" s="5" t="s">
        <v>2741</v>
      </c>
      <c r="F692" s="5">
        <v>25</v>
      </c>
      <c r="G692" s="5" t="str" cm="1">
        <f t="array" ref="G692">_xlfn.IFS(F692&lt;12,"Child",F692&lt;18,"Teen",F692&lt;25,"Young",F692&lt;40,"Adult",F692&lt;60,"Middle Age",F692&gt;=60,"Old")</f>
        <v>Adult</v>
      </c>
      <c r="H692" s="5" t="s">
        <v>2043</v>
      </c>
      <c r="I692" s="5" t="s">
        <v>2048</v>
      </c>
      <c r="J692" s="5" t="s">
        <v>2019</v>
      </c>
      <c r="K692" s="5" t="str">
        <f>VLOOKUP(J692,Sheet2!$A$1:$B$11,2,FALSE)</f>
        <v>Formal Wear</v>
      </c>
      <c r="L692" s="5">
        <v>4</v>
      </c>
      <c r="M692" s="6">
        <v>228</v>
      </c>
      <c r="N692" s="6">
        <v>912</v>
      </c>
      <c r="O692" s="7">
        <v>0</v>
      </c>
      <c r="P692" s="8">
        <f t="shared" si="20"/>
        <v>0</v>
      </c>
      <c r="Q692" s="9">
        <f t="shared" si="21"/>
        <v>912</v>
      </c>
      <c r="R692" s="5">
        <v>18</v>
      </c>
      <c r="S692" s="5" t="s">
        <v>2033</v>
      </c>
      <c r="T692" s="5" t="s">
        <v>2035</v>
      </c>
    </row>
    <row r="693" spans="1:20" x14ac:dyDescent="0.25">
      <c r="A693" s="5" t="s">
        <v>706</v>
      </c>
      <c r="B693" s="10">
        <v>45646</v>
      </c>
      <c r="C693" s="5" t="s">
        <v>1014</v>
      </c>
      <c r="D693" s="11" t="s">
        <v>1709</v>
      </c>
      <c r="E693" s="5" t="s">
        <v>2742</v>
      </c>
      <c r="F693" s="5">
        <v>34</v>
      </c>
      <c r="G693" s="5" t="str" cm="1">
        <f t="array" ref="G693">_xlfn.IFS(F693&lt;12,"Child",F693&lt;18,"Teen",F693&lt;25,"Young",F693&lt;40,"Adult",F693&lt;60,"Middle Age",F693&gt;=60,"Old")</f>
        <v>Adult</v>
      </c>
      <c r="H693" s="5" t="s">
        <v>2044</v>
      </c>
      <c r="I693" s="5" t="s">
        <v>2051</v>
      </c>
      <c r="J693" s="5" t="s">
        <v>2016</v>
      </c>
      <c r="K693" s="5" t="str">
        <f>VLOOKUP(J693,Sheet2!$A$1:$B$11,2,FALSE)</f>
        <v>Winter Wear</v>
      </c>
      <c r="L693" s="5">
        <v>1</v>
      </c>
      <c r="M693" s="6">
        <v>347</v>
      </c>
      <c r="N693" s="6">
        <v>347</v>
      </c>
      <c r="O693" s="7">
        <v>0</v>
      </c>
      <c r="P693" s="8">
        <f t="shared" si="20"/>
        <v>0</v>
      </c>
      <c r="Q693" s="9">
        <f t="shared" si="21"/>
        <v>347</v>
      </c>
      <c r="R693" s="5">
        <v>6</v>
      </c>
      <c r="S693" s="5" t="s">
        <v>2032</v>
      </c>
      <c r="T693" s="5" t="s">
        <v>2037</v>
      </c>
    </row>
    <row r="694" spans="1:20" x14ac:dyDescent="0.25">
      <c r="A694" s="5" t="s">
        <v>707</v>
      </c>
      <c r="B694" s="10">
        <v>45563</v>
      </c>
      <c r="C694" s="5" t="s">
        <v>1020</v>
      </c>
      <c r="D694" s="11" t="s">
        <v>1710</v>
      </c>
      <c r="E694" s="5" t="s">
        <v>2743</v>
      </c>
      <c r="F694" s="5">
        <v>32</v>
      </c>
      <c r="G694" s="5" t="str" cm="1">
        <f t="array" ref="G694">_xlfn.IFS(F694&lt;12,"Child",F694&lt;18,"Teen",F694&lt;25,"Young",F694&lt;40,"Adult",F694&lt;60,"Middle Age",F694&gt;=60,"Old")</f>
        <v>Adult</v>
      </c>
      <c r="H694" s="5" t="s">
        <v>2044</v>
      </c>
      <c r="I694" s="5" t="s">
        <v>2049</v>
      </c>
      <c r="J694" s="5" t="s">
        <v>2018</v>
      </c>
      <c r="K694" s="5" t="str">
        <f>VLOOKUP(J694,Sheet2!$A$1:$B$11,2,FALSE)</f>
        <v>Sportswear</v>
      </c>
      <c r="L694" s="5">
        <v>5</v>
      </c>
      <c r="M694" s="6">
        <v>989</v>
      </c>
      <c r="N694" s="6">
        <v>4945</v>
      </c>
      <c r="O694" s="7">
        <v>0.15</v>
      </c>
      <c r="P694" s="8">
        <f t="shared" si="20"/>
        <v>741.75</v>
      </c>
      <c r="Q694" s="9">
        <f t="shared" si="21"/>
        <v>4203.25</v>
      </c>
      <c r="R694" s="5">
        <v>84</v>
      </c>
      <c r="S694" s="5" t="s">
        <v>2033</v>
      </c>
      <c r="T694" s="5" t="s">
        <v>2037</v>
      </c>
    </row>
    <row r="695" spans="1:20" x14ac:dyDescent="0.25">
      <c r="A695" s="5" t="s">
        <v>708</v>
      </c>
      <c r="B695" s="10">
        <v>45373</v>
      </c>
      <c r="C695" s="5" t="s">
        <v>1014</v>
      </c>
      <c r="D695" s="11" t="s">
        <v>1711</v>
      </c>
      <c r="E695" s="5" t="s">
        <v>2744</v>
      </c>
      <c r="F695" s="5">
        <v>51</v>
      </c>
      <c r="G695" s="5" t="str" cm="1">
        <f t="array" ref="G695">_xlfn.IFS(F695&lt;12,"Child",F695&lt;18,"Teen",F695&lt;25,"Young",F695&lt;40,"Adult",F695&lt;60,"Middle Age",F695&gt;=60,"Old")</f>
        <v>Middle Age</v>
      </c>
      <c r="H695" s="5" t="s">
        <v>2043</v>
      </c>
      <c r="I695" s="5" t="s">
        <v>2050</v>
      </c>
      <c r="J695" s="5" t="s">
        <v>2018</v>
      </c>
      <c r="K695" s="5" t="str">
        <f>VLOOKUP(J695,Sheet2!$A$1:$B$11,2,FALSE)</f>
        <v>Sportswear</v>
      </c>
      <c r="L695" s="5">
        <v>1</v>
      </c>
      <c r="M695" s="6">
        <v>258</v>
      </c>
      <c r="N695" s="6">
        <v>258</v>
      </c>
      <c r="O695" s="7">
        <v>0</v>
      </c>
      <c r="P695" s="8">
        <f t="shared" si="20"/>
        <v>0</v>
      </c>
      <c r="Q695" s="9">
        <f t="shared" si="21"/>
        <v>258</v>
      </c>
      <c r="R695" s="5">
        <v>5</v>
      </c>
      <c r="S695" s="5" t="s">
        <v>2032</v>
      </c>
      <c r="T695" s="5" t="s">
        <v>2035</v>
      </c>
    </row>
    <row r="696" spans="1:20" x14ac:dyDescent="0.25">
      <c r="A696" s="5" t="s">
        <v>709</v>
      </c>
      <c r="B696" s="10">
        <v>45523</v>
      </c>
      <c r="C696" s="5" t="s">
        <v>1016</v>
      </c>
      <c r="D696" s="11" t="s">
        <v>1712</v>
      </c>
      <c r="E696" s="5" t="s">
        <v>2745</v>
      </c>
      <c r="F696" s="5">
        <v>43</v>
      </c>
      <c r="G696" s="5" t="str" cm="1">
        <f t="array" ref="G696">_xlfn.IFS(F696&lt;12,"Child",F696&lt;18,"Teen",F696&lt;25,"Young",F696&lt;40,"Adult",F696&lt;60,"Middle Age",F696&gt;=60,"Old")</f>
        <v>Middle Age</v>
      </c>
      <c r="H696" s="5" t="s">
        <v>2044</v>
      </c>
      <c r="I696" s="5" t="s">
        <v>2046</v>
      </c>
      <c r="J696" s="5" t="s">
        <v>2018</v>
      </c>
      <c r="K696" s="5" t="str">
        <f>VLOOKUP(J696,Sheet2!$A$1:$B$11,2,FALSE)</f>
        <v>Sportswear</v>
      </c>
      <c r="L696" s="5">
        <v>3</v>
      </c>
      <c r="M696" s="6">
        <v>752</v>
      </c>
      <c r="N696" s="6">
        <v>2256</v>
      </c>
      <c r="O696" s="7">
        <v>0.2</v>
      </c>
      <c r="P696" s="8">
        <f t="shared" si="20"/>
        <v>451.20000000000005</v>
      </c>
      <c r="Q696" s="9">
        <f t="shared" si="21"/>
        <v>1804.8</v>
      </c>
      <c r="R696" s="5">
        <v>36</v>
      </c>
      <c r="S696" s="5" t="s">
        <v>2034</v>
      </c>
      <c r="T696" s="5" t="s">
        <v>2037</v>
      </c>
    </row>
    <row r="697" spans="1:20" x14ac:dyDescent="0.25">
      <c r="A697" s="5" t="s">
        <v>710</v>
      </c>
      <c r="B697" s="10">
        <v>45697</v>
      </c>
      <c r="C697" s="5" t="s">
        <v>1015</v>
      </c>
      <c r="D697" s="11" t="s">
        <v>1713</v>
      </c>
      <c r="E697" s="5" t="s">
        <v>2746</v>
      </c>
      <c r="F697" s="5">
        <v>33</v>
      </c>
      <c r="G697" s="5" t="str" cm="1">
        <f t="array" ref="G697">_xlfn.IFS(F697&lt;12,"Child",F697&lt;18,"Teen",F697&lt;25,"Young",F697&lt;40,"Adult",F697&lt;60,"Middle Age",F697&gt;=60,"Old")</f>
        <v>Adult</v>
      </c>
      <c r="H697" s="5" t="s">
        <v>2044</v>
      </c>
      <c r="I697" s="5" t="s">
        <v>2047</v>
      </c>
      <c r="J697" s="5" t="s">
        <v>2019</v>
      </c>
      <c r="K697" s="5" t="str">
        <f>VLOOKUP(J697,Sheet2!$A$1:$B$11,2,FALSE)</f>
        <v>Formal Wear</v>
      </c>
      <c r="L697" s="5">
        <v>2</v>
      </c>
      <c r="M697" s="6">
        <v>477</v>
      </c>
      <c r="N697" s="6">
        <v>954</v>
      </c>
      <c r="O697" s="7">
        <v>0.1</v>
      </c>
      <c r="P697" s="8">
        <f t="shared" si="20"/>
        <v>95.4</v>
      </c>
      <c r="Q697" s="9">
        <f t="shared" si="21"/>
        <v>858.6</v>
      </c>
      <c r="R697" s="5">
        <v>17</v>
      </c>
      <c r="S697" s="5" t="s">
        <v>2033</v>
      </c>
      <c r="T697" s="5" t="s">
        <v>2035</v>
      </c>
    </row>
    <row r="698" spans="1:20" x14ac:dyDescent="0.25">
      <c r="A698" s="5" t="s">
        <v>711</v>
      </c>
      <c r="B698" s="10">
        <v>45368</v>
      </c>
      <c r="C698" s="5" t="s">
        <v>1015</v>
      </c>
      <c r="D698" s="11" t="s">
        <v>1714</v>
      </c>
      <c r="E698" s="5" t="s">
        <v>2747</v>
      </c>
      <c r="F698" s="5">
        <v>23</v>
      </c>
      <c r="G698" s="5" t="str" cm="1">
        <f t="array" ref="G698">_xlfn.IFS(F698&lt;12,"Child",F698&lt;18,"Teen",F698&lt;25,"Young",F698&lt;40,"Adult",F698&lt;60,"Middle Age",F698&gt;=60,"Old")</f>
        <v>Young</v>
      </c>
      <c r="H698" s="5" t="s">
        <v>2044</v>
      </c>
      <c r="I698" s="5" t="s">
        <v>2047</v>
      </c>
      <c r="J698" s="5" t="s">
        <v>2022</v>
      </c>
      <c r="K698" s="5" t="str">
        <f>VLOOKUP(J698,Sheet2!$A$1:$B$11,2,FALSE)</f>
        <v>Sportswear</v>
      </c>
      <c r="L698" s="5">
        <v>2</v>
      </c>
      <c r="M698" s="6">
        <v>583</v>
      </c>
      <c r="N698" s="6">
        <v>1166</v>
      </c>
      <c r="O698" s="7">
        <v>0.2</v>
      </c>
      <c r="P698" s="8">
        <f t="shared" si="20"/>
        <v>233.20000000000002</v>
      </c>
      <c r="Q698" s="9">
        <f t="shared" si="21"/>
        <v>932.8</v>
      </c>
      <c r="R698" s="5">
        <v>18</v>
      </c>
      <c r="S698" s="5" t="s">
        <v>2033</v>
      </c>
      <c r="T698" s="5" t="s">
        <v>2035</v>
      </c>
    </row>
    <row r="699" spans="1:20" x14ac:dyDescent="0.25">
      <c r="A699" s="5" t="s">
        <v>712</v>
      </c>
      <c r="B699" s="10">
        <v>45370</v>
      </c>
      <c r="C699" s="5" t="s">
        <v>1019</v>
      </c>
      <c r="D699" s="11" t="s">
        <v>1715</v>
      </c>
      <c r="E699" s="5" t="s">
        <v>2748</v>
      </c>
      <c r="F699" s="5">
        <v>35</v>
      </c>
      <c r="G699" s="5" t="str" cm="1">
        <f t="array" ref="G699">_xlfn.IFS(F699&lt;12,"Child",F699&lt;18,"Teen",F699&lt;25,"Young",F699&lt;40,"Adult",F699&lt;60,"Middle Age",F699&gt;=60,"Old")</f>
        <v>Adult</v>
      </c>
      <c r="H699" s="5" t="s">
        <v>2044</v>
      </c>
      <c r="I699" s="5" t="s">
        <v>2053</v>
      </c>
      <c r="J699" s="5" t="s">
        <v>2025</v>
      </c>
      <c r="K699" s="5" t="str">
        <f>VLOOKUP(J699,Sheet2!$A$1:$B$11,2,FALSE)</f>
        <v>Formal Wear</v>
      </c>
      <c r="L699" s="5">
        <v>1</v>
      </c>
      <c r="M699" s="6">
        <v>863</v>
      </c>
      <c r="N699" s="6">
        <v>863</v>
      </c>
      <c r="O699" s="7">
        <v>0.2</v>
      </c>
      <c r="P699" s="8">
        <f t="shared" si="20"/>
        <v>172.60000000000002</v>
      </c>
      <c r="Q699" s="9">
        <f t="shared" si="21"/>
        <v>690.4</v>
      </c>
      <c r="R699" s="5">
        <v>13</v>
      </c>
      <c r="S699" s="5" t="s">
        <v>2034</v>
      </c>
      <c r="T699" s="5" t="s">
        <v>2035</v>
      </c>
    </row>
    <row r="700" spans="1:20" x14ac:dyDescent="0.25">
      <c r="A700" s="5" t="s">
        <v>713</v>
      </c>
      <c r="B700" s="10">
        <v>45462</v>
      </c>
      <c r="C700" s="5" t="s">
        <v>1017</v>
      </c>
      <c r="D700" s="11" t="s">
        <v>1716</v>
      </c>
      <c r="E700" s="5" t="s">
        <v>2749</v>
      </c>
      <c r="F700" s="5">
        <v>42</v>
      </c>
      <c r="G700" s="5" t="str" cm="1">
        <f t="array" ref="G700">_xlfn.IFS(F700&lt;12,"Child",F700&lt;18,"Teen",F700&lt;25,"Young",F700&lt;40,"Adult",F700&lt;60,"Middle Age",F700&gt;=60,"Old")</f>
        <v>Middle Age</v>
      </c>
      <c r="H700" s="5" t="s">
        <v>2043</v>
      </c>
      <c r="I700" s="5" t="s">
        <v>2050</v>
      </c>
      <c r="J700" s="5" t="s">
        <v>2019</v>
      </c>
      <c r="K700" s="5" t="str">
        <f>VLOOKUP(J700,Sheet2!$A$1:$B$11,2,FALSE)</f>
        <v>Formal Wear</v>
      </c>
      <c r="L700" s="5">
        <v>2</v>
      </c>
      <c r="M700" s="6">
        <v>678</v>
      </c>
      <c r="N700" s="6">
        <v>1356</v>
      </c>
      <c r="O700" s="7">
        <v>0.1</v>
      </c>
      <c r="P700" s="8">
        <f t="shared" si="20"/>
        <v>135.6</v>
      </c>
      <c r="Q700" s="9">
        <f t="shared" si="21"/>
        <v>1220.4000000000001</v>
      </c>
      <c r="R700" s="5">
        <v>24</v>
      </c>
      <c r="S700" s="5" t="s">
        <v>2034</v>
      </c>
      <c r="T700" s="5" t="s">
        <v>2037</v>
      </c>
    </row>
    <row r="701" spans="1:20" x14ac:dyDescent="0.25">
      <c r="A701" s="5" t="s">
        <v>714</v>
      </c>
      <c r="B701" s="10">
        <v>45599</v>
      </c>
      <c r="C701" s="5" t="s">
        <v>1015</v>
      </c>
      <c r="D701" s="11" t="s">
        <v>1717</v>
      </c>
      <c r="E701" s="5" t="s">
        <v>2750</v>
      </c>
      <c r="F701" s="5">
        <v>43</v>
      </c>
      <c r="G701" s="5" t="str" cm="1">
        <f t="array" ref="G701">_xlfn.IFS(F701&lt;12,"Child",F701&lt;18,"Teen",F701&lt;25,"Young",F701&lt;40,"Adult",F701&lt;60,"Middle Age",F701&gt;=60,"Old")</f>
        <v>Middle Age</v>
      </c>
      <c r="H701" s="5" t="s">
        <v>2044</v>
      </c>
      <c r="I701" s="5" t="s">
        <v>2045</v>
      </c>
      <c r="J701" s="5" t="s">
        <v>2017</v>
      </c>
      <c r="K701" s="5" t="str">
        <f>VLOOKUP(J701,Sheet2!$A$1:$B$11,2,FALSE)</f>
        <v>Casual Wear</v>
      </c>
      <c r="L701" s="5">
        <v>2</v>
      </c>
      <c r="M701" s="6">
        <v>995</v>
      </c>
      <c r="N701" s="6">
        <v>1990</v>
      </c>
      <c r="O701" s="7">
        <v>0</v>
      </c>
      <c r="P701" s="8">
        <f t="shared" si="20"/>
        <v>0</v>
      </c>
      <c r="Q701" s="9">
        <f t="shared" si="21"/>
        <v>1990</v>
      </c>
      <c r="R701" s="5">
        <v>39</v>
      </c>
      <c r="S701" s="5" t="s">
        <v>2032</v>
      </c>
      <c r="T701" s="5" t="s">
        <v>2037</v>
      </c>
    </row>
    <row r="702" spans="1:20" x14ac:dyDescent="0.25">
      <c r="A702" s="5" t="s">
        <v>715</v>
      </c>
      <c r="B702" s="10">
        <v>45600</v>
      </c>
      <c r="C702" s="5" t="s">
        <v>1016</v>
      </c>
      <c r="D702" s="11" t="s">
        <v>1718</v>
      </c>
      <c r="E702" s="5" t="s">
        <v>2751</v>
      </c>
      <c r="F702" s="5">
        <v>38</v>
      </c>
      <c r="G702" s="5" t="str" cm="1">
        <f t="array" ref="G702">_xlfn.IFS(F702&lt;12,"Child",F702&lt;18,"Teen",F702&lt;25,"Young",F702&lt;40,"Adult",F702&lt;60,"Middle Age",F702&gt;=60,"Old")</f>
        <v>Adult</v>
      </c>
      <c r="H702" s="5" t="s">
        <v>2044</v>
      </c>
      <c r="I702" s="5" t="s">
        <v>2051</v>
      </c>
      <c r="J702" s="5" t="s">
        <v>2018</v>
      </c>
      <c r="K702" s="5" t="str">
        <f>VLOOKUP(J702,Sheet2!$A$1:$B$11,2,FALSE)</f>
        <v>Sportswear</v>
      </c>
      <c r="L702" s="5">
        <v>1</v>
      </c>
      <c r="M702" s="6">
        <v>1011</v>
      </c>
      <c r="N702" s="6">
        <v>1011</v>
      </c>
      <c r="O702" s="7">
        <v>0.1</v>
      </c>
      <c r="P702" s="8">
        <f t="shared" si="20"/>
        <v>101.10000000000001</v>
      </c>
      <c r="Q702" s="9">
        <f t="shared" si="21"/>
        <v>909.9</v>
      </c>
      <c r="R702" s="5">
        <v>18</v>
      </c>
      <c r="S702" s="5" t="s">
        <v>2032</v>
      </c>
      <c r="T702" s="5" t="s">
        <v>2037</v>
      </c>
    </row>
    <row r="703" spans="1:20" x14ac:dyDescent="0.25">
      <c r="A703" s="5" t="s">
        <v>716</v>
      </c>
      <c r="B703" s="10">
        <v>45540</v>
      </c>
      <c r="C703" s="5" t="s">
        <v>1018</v>
      </c>
      <c r="D703" s="11" t="s">
        <v>1719</v>
      </c>
      <c r="E703" s="5" t="s">
        <v>2752</v>
      </c>
      <c r="F703" s="5">
        <v>50</v>
      </c>
      <c r="G703" s="5" t="str" cm="1">
        <f t="array" ref="G703">_xlfn.IFS(F703&lt;12,"Child",F703&lt;18,"Teen",F703&lt;25,"Young",F703&lt;40,"Adult",F703&lt;60,"Middle Age",F703&gt;=60,"Old")</f>
        <v>Middle Age</v>
      </c>
      <c r="H703" s="5" t="s">
        <v>2043</v>
      </c>
      <c r="I703" s="5" t="s">
        <v>2015</v>
      </c>
      <c r="J703" s="5" t="s">
        <v>2023</v>
      </c>
      <c r="K703" s="5" t="str">
        <f>VLOOKUP(J703,Sheet2!$A$1:$B$11,2,FALSE)</f>
        <v>Formal Wear</v>
      </c>
      <c r="L703" s="5">
        <v>1</v>
      </c>
      <c r="M703" s="6">
        <v>478</v>
      </c>
      <c r="N703" s="6">
        <v>478</v>
      </c>
      <c r="O703" s="7">
        <v>0.2</v>
      </c>
      <c r="P703" s="8">
        <f t="shared" si="20"/>
        <v>95.600000000000009</v>
      </c>
      <c r="Q703" s="9">
        <f t="shared" si="21"/>
        <v>382.4</v>
      </c>
      <c r="R703" s="5">
        <v>7</v>
      </c>
      <c r="S703" s="5" t="s">
        <v>2033</v>
      </c>
      <c r="T703" s="5" t="s">
        <v>2036</v>
      </c>
    </row>
    <row r="704" spans="1:20" x14ac:dyDescent="0.25">
      <c r="A704" s="5" t="s">
        <v>717</v>
      </c>
      <c r="B704" s="10">
        <v>45552</v>
      </c>
      <c r="C704" s="5" t="s">
        <v>1019</v>
      </c>
      <c r="D704" s="11" t="s">
        <v>1720</v>
      </c>
      <c r="E704" s="5" t="s">
        <v>2753</v>
      </c>
      <c r="F704" s="5">
        <v>57</v>
      </c>
      <c r="G704" s="5" t="str" cm="1">
        <f t="array" ref="G704">_xlfn.IFS(F704&lt;12,"Child",F704&lt;18,"Teen",F704&lt;25,"Young",F704&lt;40,"Adult",F704&lt;60,"Middle Age",F704&gt;=60,"Old")</f>
        <v>Middle Age</v>
      </c>
      <c r="H704" s="5" t="s">
        <v>2043</v>
      </c>
      <c r="I704" s="5" t="s">
        <v>2048</v>
      </c>
      <c r="J704" s="5" t="s">
        <v>2020</v>
      </c>
      <c r="K704" s="5" t="str">
        <f>VLOOKUP(J704,Sheet2!$A$1:$B$11,2,FALSE)</f>
        <v>Summer Wear</v>
      </c>
      <c r="L704" s="5">
        <v>2</v>
      </c>
      <c r="M704" s="6">
        <v>906</v>
      </c>
      <c r="N704" s="6">
        <v>1812</v>
      </c>
      <c r="O704" s="7">
        <v>0.1</v>
      </c>
      <c r="P704" s="8">
        <f t="shared" si="20"/>
        <v>181.20000000000002</v>
      </c>
      <c r="Q704" s="9">
        <f t="shared" si="21"/>
        <v>1630.8</v>
      </c>
      <c r="R704" s="5">
        <v>32</v>
      </c>
      <c r="S704" s="5" t="s">
        <v>2032</v>
      </c>
      <c r="T704" s="5" t="s">
        <v>2036</v>
      </c>
    </row>
    <row r="705" spans="1:20" x14ac:dyDescent="0.25">
      <c r="A705" s="5" t="s">
        <v>718</v>
      </c>
      <c r="B705" s="10">
        <v>45529</v>
      </c>
      <c r="C705" s="5" t="s">
        <v>1015</v>
      </c>
      <c r="D705" s="11" t="s">
        <v>1721</v>
      </c>
      <c r="E705" s="5" t="s">
        <v>2754</v>
      </c>
      <c r="F705" s="5">
        <v>43</v>
      </c>
      <c r="G705" s="5" t="str" cm="1">
        <f t="array" ref="G705">_xlfn.IFS(F705&lt;12,"Child",F705&lt;18,"Teen",F705&lt;25,"Young",F705&lt;40,"Adult",F705&lt;60,"Middle Age",F705&gt;=60,"Old")</f>
        <v>Middle Age</v>
      </c>
      <c r="H705" s="5" t="s">
        <v>2044</v>
      </c>
      <c r="I705" s="5" t="s">
        <v>2047</v>
      </c>
      <c r="J705" s="5" t="s">
        <v>2024</v>
      </c>
      <c r="K705" s="5" t="str">
        <f>VLOOKUP(J705,Sheet2!$A$1:$B$11,2,FALSE)</f>
        <v>Fashion Accessories</v>
      </c>
      <c r="L705" s="5">
        <v>3</v>
      </c>
      <c r="M705" s="6">
        <v>174</v>
      </c>
      <c r="N705" s="6">
        <v>522</v>
      </c>
      <c r="O705" s="7">
        <v>0</v>
      </c>
      <c r="P705" s="8">
        <f t="shared" si="20"/>
        <v>0</v>
      </c>
      <c r="Q705" s="9">
        <f t="shared" si="21"/>
        <v>522</v>
      </c>
      <c r="R705" s="5">
        <v>10</v>
      </c>
      <c r="S705" s="5" t="s">
        <v>2033</v>
      </c>
      <c r="T705" s="5" t="s">
        <v>2035</v>
      </c>
    </row>
    <row r="706" spans="1:20" x14ac:dyDescent="0.25">
      <c r="A706" s="5" t="s">
        <v>719</v>
      </c>
      <c r="B706" s="10">
        <v>45448</v>
      </c>
      <c r="C706" s="5" t="s">
        <v>1017</v>
      </c>
      <c r="D706" s="11" t="s">
        <v>1722</v>
      </c>
      <c r="E706" s="5" t="s">
        <v>2755</v>
      </c>
      <c r="F706" s="5">
        <v>34</v>
      </c>
      <c r="G706" s="5" t="str" cm="1">
        <f t="array" ref="G706">_xlfn.IFS(F706&lt;12,"Child",F706&lt;18,"Teen",F706&lt;25,"Young",F706&lt;40,"Adult",F706&lt;60,"Middle Age",F706&gt;=60,"Old")</f>
        <v>Adult</v>
      </c>
      <c r="H706" s="5" t="s">
        <v>2044</v>
      </c>
      <c r="I706" s="5" t="s">
        <v>2051</v>
      </c>
      <c r="J706" s="5" t="s">
        <v>2022</v>
      </c>
      <c r="K706" s="5" t="str">
        <f>VLOOKUP(J706,Sheet2!$A$1:$B$11,2,FALSE)</f>
        <v>Sportswear</v>
      </c>
      <c r="L706" s="5">
        <v>4</v>
      </c>
      <c r="M706" s="6">
        <v>340</v>
      </c>
      <c r="N706" s="6">
        <v>1360</v>
      </c>
      <c r="O706" s="7">
        <v>0</v>
      </c>
      <c r="P706" s="8">
        <f t="shared" si="20"/>
        <v>0</v>
      </c>
      <c r="Q706" s="9">
        <f t="shared" si="21"/>
        <v>1360</v>
      </c>
      <c r="R706" s="5">
        <v>27</v>
      </c>
      <c r="S706" s="5" t="s">
        <v>2032</v>
      </c>
      <c r="T706" s="5" t="s">
        <v>2035</v>
      </c>
    </row>
    <row r="707" spans="1:20" x14ac:dyDescent="0.25">
      <c r="A707" s="5" t="s">
        <v>720</v>
      </c>
      <c r="B707" s="10">
        <v>45637</v>
      </c>
      <c r="C707" s="5" t="s">
        <v>1017</v>
      </c>
      <c r="D707" s="11" t="s">
        <v>1723</v>
      </c>
      <c r="E707" s="5" t="s">
        <v>2756</v>
      </c>
      <c r="F707" s="5">
        <v>55</v>
      </c>
      <c r="G707" s="5" t="str" cm="1">
        <f t="array" ref="G707">_xlfn.IFS(F707&lt;12,"Child",F707&lt;18,"Teen",F707&lt;25,"Young",F707&lt;40,"Adult",F707&lt;60,"Middle Age",F707&gt;=60,"Old")</f>
        <v>Middle Age</v>
      </c>
      <c r="H707" s="5" t="s">
        <v>2044</v>
      </c>
      <c r="I707" s="5" t="s">
        <v>2048</v>
      </c>
      <c r="J707" s="5" t="s">
        <v>2017</v>
      </c>
      <c r="K707" s="5" t="str">
        <f>VLOOKUP(J707,Sheet2!$A$1:$B$11,2,FALSE)</f>
        <v>Casual Wear</v>
      </c>
      <c r="L707" s="5">
        <v>5</v>
      </c>
      <c r="M707" s="6">
        <v>675</v>
      </c>
      <c r="N707" s="6">
        <v>3375</v>
      </c>
      <c r="O707" s="7">
        <v>0.2</v>
      </c>
      <c r="P707" s="8">
        <f t="shared" ref="P707:P770" si="22">N707*O707</f>
        <v>675</v>
      </c>
      <c r="Q707" s="9">
        <f t="shared" ref="Q707:Q770" si="23">N707-P707</f>
        <v>2700</v>
      </c>
      <c r="R707" s="5">
        <v>54</v>
      </c>
      <c r="S707" s="5" t="s">
        <v>2034</v>
      </c>
      <c r="T707" s="5" t="s">
        <v>2036</v>
      </c>
    </row>
    <row r="708" spans="1:20" x14ac:dyDescent="0.25">
      <c r="A708" s="5" t="s">
        <v>721</v>
      </c>
      <c r="B708" s="10">
        <v>45625</v>
      </c>
      <c r="C708" s="5" t="s">
        <v>1014</v>
      </c>
      <c r="D708" s="11" t="s">
        <v>1724</v>
      </c>
      <c r="E708" s="5" t="s">
        <v>2757</v>
      </c>
      <c r="F708" s="5">
        <v>30</v>
      </c>
      <c r="G708" s="5" t="str" cm="1">
        <f t="array" ref="G708">_xlfn.IFS(F708&lt;12,"Child",F708&lt;18,"Teen",F708&lt;25,"Young",F708&lt;40,"Adult",F708&lt;60,"Middle Age",F708&gt;=60,"Old")</f>
        <v>Adult</v>
      </c>
      <c r="H708" s="5" t="s">
        <v>2043</v>
      </c>
      <c r="I708" s="5" t="s">
        <v>2051</v>
      </c>
      <c r="J708" s="5" t="s">
        <v>2020</v>
      </c>
      <c r="K708" s="5" t="str">
        <f>VLOOKUP(J708,Sheet2!$A$1:$B$11,2,FALSE)</f>
        <v>Summer Wear</v>
      </c>
      <c r="L708" s="5">
        <v>3</v>
      </c>
      <c r="M708" s="6">
        <v>677</v>
      </c>
      <c r="N708" s="6">
        <v>2031</v>
      </c>
      <c r="O708" s="7">
        <v>0.1</v>
      </c>
      <c r="P708" s="8">
        <f t="shared" si="22"/>
        <v>203.10000000000002</v>
      </c>
      <c r="Q708" s="9">
        <f t="shared" si="23"/>
        <v>1827.9</v>
      </c>
      <c r="R708" s="5">
        <v>36</v>
      </c>
      <c r="S708" s="5" t="s">
        <v>2033</v>
      </c>
      <c r="T708" s="5" t="s">
        <v>2037</v>
      </c>
    </row>
    <row r="709" spans="1:20" x14ac:dyDescent="0.25">
      <c r="A709" s="5" t="s">
        <v>722</v>
      </c>
      <c r="B709" s="10">
        <v>45577</v>
      </c>
      <c r="C709" s="5" t="s">
        <v>1020</v>
      </c>
      <c r="D709" s="11" t="s">
        <v>1725</v>
      </c>
      <c r="E709" s="5" t="s">
        <v>2758</v>
      </c>
      <c r="F709" s="5">
        <v>32</v>
      </c>
      <c r="G709" s="5" t="str" cm="1">
        <f t="array" ref="G709">_xlfn.IFS(F709&lt;12,"Child",F709&lt;18,"Teen",F709&lt;25,"Young",F709&lt;40,"Adult",F709&lt;60,"Middle Age",F709&gt;=60,"Old")</f>
        <v>Adult</v>
      </c>
      <c r="H709" s="5" t="s">
        <v>2043</v>
      </c>
      <c r="I709" s="5" t="s">
        <v>2047</v>
      </c>
      <c r="J709" s="5" t="s">
        <v>2025</v>
      </c>
      <c r="K709" s="5" t="str">
        <f>VLOOKUP(J709,Sheet2!$A$1:$B$11,2,FALSE)</f>
        <v>Formal Wear</v>
      </c>
      <c r="L709" s="5">
        <v>5</v>
      </c>
      <c r="M709" s="6">
        <v>1104</v>
      </c>
      <c r="N709" s="6">
        <v>5520</v>
      </c>
      <c r="O709" s="7">
        <v>0.1</v>
      </c>
      <c r="P709" s="8">
        <f t="shared" si="22"/>
        <v>552</v>
      </c>
      <c r="Q709" s="9">
        <f t="shared" si="23"/>
        <v>4968</v>
      </c>
      <c r="R709" s="5">
        <v>99</v>
      </c>
      <c r="S709" s="5" t="s">
        <v>2032</v>
      </c>
      <c r="T709" s="5" t="s">
        <v>2035</v>
      </c>
    </row>
    <row r="710" spans="1:20" x14ac:dyDescent="0.25">
      <c r="A710" s="5" t="s">
        <v>723</v>
      </c>
      <c r="B710" s="10">
        <v>45607</v>
      </c>
      <c r="C710" s="5" t="s">
        <v>1016</v>
      </c>
      <c r="D710" s="11" t="s">
        <v>1726</v>
      </c>
      <c r="E710" s="5" t="s">
        <v>2759</v>
      </c>
      <c r="F710" s="5">
        <v>27</v>
      </c>
      <c r="G710" s="5" t="str" cm="1">
        <f t="array" ref="G710">_xlfn.IFS(F710&lt;12,"Child",F710&lt;18,"Teen",F710&lt;25,"Young",F710&lt;40,"Adult",F710&lt;60,"Middle Age",F710&gt;=60,"Old")</f>
        <v>Adult</v>
      </c>
      <c r="H710" s="5" t="s">
        <v>2043</v>
      </c>
      <c r="I710" s="5" t="s">
        <v>2053</v>
      </c>
      <c r="J710" s="5" t="s">
        <v>2020</v>
      </c>
      <c r="K710" s="5" t="str">
        <f>VLOOKUP(J710,Sheet2!$A$1:$B$11,2,FALSE)</f>
        <v>Summer Wear</v>
      </c>
      <c r="L710" s="5">
        <v>2</v>
      </c>
      <c r="M710" s="6">
        <v>564</v>
      </c>
      <c r="N710" s="6">
        <v>1128</v>
      </c>
      <c r="O710" s="7">
        <v>0.15</v>
      </c>
      <c r="P710" s="8">
        <f t="shared" si="22"/>
        <v>169.2</v>
      </c>
      <c r="Q710" s="9">
        <f t="shared" si="23"/>
        <v>958.8</v>
      </c>
      <c r="R710" s="5">
        <v>19</v>
      </c>
      <c r="S710" s="5" t="s">
        <v>2034</v>
      </c>
      <c r="T710" s="5" t="s">
        <v>2035</v>
      </c>
    </row>
    <row r="711" spans="1:20" x14ac:dyDescent="0.25">
      <c r="A711" s="5" t="s">
        <v>724</v>
      </c>
      <c r="B711" s="10">
        <v>45418</v>
      </c>
      <c r="C711" s="5" t="s">
        <v>1016</v>
      </c>
      <c r="D711" s="11" t="s">
        <v>1727</v>
      </c>
      <c r="E711" s="5" t="s">
        <v>2760</v>
      </c>
      <c r="F711" s="5">
        <v>40</v>
      </c>
      <c r="G711" s="5" t="str" cm="1">
        <f t="array" ref="G711">_xlfn.IFS(F711&lt;12,"Child",F711&lt;18,"Teen",F711&lt;25,"Young",F711&lt;40,"Adult",F711&lt;60,"Middle Age",F711&gt;=60,"Old")</f>
        <v>Middle Age</v>
      </c>
      <c r="H711" s="5" t="s">
        <v>2044</v>
      </c>
      <c r="I711" s="5" t="s">
        <v>2046</v>
      </c>
      <c r="J711" s="5" t="s">
        <v>2020</v>
      </c>
      <c r="K711" s="5" t="str">
        <f>VLOOKUP(J711,Sheet2!$A$1:$B$11,2,FALSE)</f>
        <v>Summer Wear</v>
      </c>
      <c r="L711" s="5">
        <v>5</v>
      </c>
      <c r="M711" s="6">
        <v>769</v>
      </c>
      <c r="N711" s="6">
        <v>3845</v>
      </c>
      <c r="O711" s="7">
        <v>0.1</v>
      </c>
      <c r="P711" s="8">
        <f t="shared" si="22"/>
        <v>384.5</v>
      </c>
      <c r="Q711" s="9">
        <f t="shared" si="23"/>
        <v>3460.5</v>
      </c>
      <c r="R711" s="5">
        <v>69</v>
      </c>
      <c r="S711" s="5" t="s">
        <v>2032</v>
      </c>
      <c r="T711" s="5" t="s">
        <v>2037</v>
      </c>
    </row>
    <row r="712" spans="1:20" x14ac:dyDescent="0.25">
      <c r="A712" s="5" t="s">
        <v>725</v>
      </c>
      <c r="B712" s="10">
        <v>45719</v>
      </c>
      <c r="C712" s="5" t="s">
        <v>1016</v>
      </c>
      <c r="D712" s="11" t="s">
        <v>1728</v>
      </c>
      <c r="E712" s="5" t="s">
        <v>2761</v>
      </c>
      <c r="F712" s="5">
        <v>28</v>
      </c>
      <c r="G712" s="5" t="str" cm="1">
        <f t="array" ref="G712">_xlfn.IFS(F712&lt;12,"Child",F712&lt;18,"Teen",F712&lt;25,"Young",F712&lt;40,"Adult",F712&lt;60,"Middle Age",F712&gt;=60,"Old")</f>
        <v>Adult</v>
      </c>
      <c r="H712" s="5" t="s">
        <v>2043</v>
      </c>
      <c r="I712" s="5" t="s">
        <v>2046</v>
      </c>
      <c r="J712" s="5" t="s">
        <v>2025</v>
      </c>
      <c r="K712" s="5" t="str">
        <f>VLOOKUP(J712,Sheet2!$A$1:$B$11,2,FALSE)</f>
        <v>Formal Wear</v>
      </c>
      <c r="L712" s="5">
        <v>5</v>
      </c>
      <c r="M712" s="6">
        <v>898</v>
      </c>
      <c r="N712" s="6">
        <v>4490</v>
      </c>
      <c r="O712" s="7">
        <v>0.15</v>
      </c>
      <c r="P712" s="8">
        <f t="shared" si="22"/>
        <v>673.5</v>
      </c>
      <c r="Q712" s="9">
        <f t="shared" si="23"/>
        <v>3816.5</v>
      </c>
      <c r="R712" s="5">
        <v>76</v>
      </c>
      <c r="S712" s="5" t="s">
        <v>2034</v>
      </c>
      <c r="T712" s="5" t="s">
        <v>2036</v>
      </c>
    </row>
    <row r="713" spans="1:20" x14ac:dyDescent="0.25">
      <c r="A713" s="5" t="s">
        <v>726</v>
      </c>
      <c r="B713" s="10">
        <v>45621</v>
      </c>
      <c r="C713" s="5" t="s">
        <v>1016</v>
      </c>
      <c r="D713" s="11" t="s">
        <v>1729</v>
      </c>
      <c r="E713" s="5" t="s">
        <v>2762</v>
      </c>
      <c r="F713" s="5">
        <v>39</v>
      </c>
      <c r="G713" s="5" t="str" cm="1">
        <f t="array" ref="G713">_xlfn.IFS(F713&lt;12,"Child",F713&lt;18,"Teen",F713&lt;25,"Young",F713&lt;40,"Adult",F713&lt;60,"Middle Age",F713&gt;=60,"Old")</f>
        <v>Adult</v>
      </c>
      <c r="H713" s="5" t="s">
        <v>2044</v>
      </c>
      <c r="I713" s="5" t="s">
        <v>2015</v>
      </c>
      <c r="J713" s="5" t="s">
        <v>2017</v>
      </c>
      <c r="K713" s="5" t="str">
        <f>VLOOKUP(J713,Sheet2!$A$1:$B$11,2,FALSE)</f>
        <v>Casual Wear</v>
      </c>
      <c r="L713" s="5">
        <v>3</v>
      </c>
      <c r="M713" s="6">
        <v>1109</v>
      </c>
      <c r="N713" s="6">
        <v>3327</v>
      </c>
      <c r="O713" s="7">
        <v>0.05</v>
      </c>
      <c r="P713" s="8">
        <f t="shared" si="22"/>
        <v>166.35000000000002</v>
      </c>
      <c r="Q713" s="9">
        <f t="shared" si="23"/>
        <v>3160.65</v>
      </c>
      <c r="R713" s="5">
        <v>63</v>
      </c>
      <c r="S713" s="5" t="s">
        <v>2033</v>
      </c>
      <c r="T713" s="5" t="s">
        <v>2035</v>
      </c>
    </row>
    <row r="714" spans="1:20" x14ac:dyDescent="0.25">
      <c r="A714" s="5" t="s">
        <v>727</v>
      </c>
      <c r="B714" s="10">
        <v>45535</v>
      </c>
      <c r="C714" s="5" t="s">
        <v>1020</v>
      </c>
      <c r="D714" s="11" t="s">
        <v>1730</v>
      </c>
      <c r="E714" s="5" t="s">
        <v>2763</v>
      </c>
      <c r="F714" s="5">
        <v>19</v>
      </c>
      <c r="G714" s="5" t="str" cm="1">
        <f t="array" ref="G714">_xlfn.IFS(F714&lt;12,"Child",F714&lt;18,"Teen",F714&lt;25,"Young",F714&lt;40,"Adult",F714&lt;60,"Middle Age",F714&gt;=60,"Old")</f>
        <v>Young</v>
      </c>
      <c r="H714" s="5" t="s">
        <v>2044</v>
      </c>
      <c r="I714" s="5" t="s">
        <v>2048</v>
      </c>
      <c r="J714" s="5" t="s">
        <v>2019</v>
      </c>
      <c r="K714" s="5" t="str">
        <f>VLOOKUP(J714,Sheet2!$A$1:$B$11,2,FALSE)</f>
        <v>Formal Wear</v>
      </c>
      <c r="L714" s="5">
        <v>3</v>
      </c>
      <c r="M714" s="6">
        <v>233</v>
      </c>
      <c r="N714" s="6">
        <v>699</v>
      </c>
      <c r="O714" s="7">
        <v>0.05</v>
      </c>
      <c r="P714" s="8">
        <f t="shared" si="22"/>
        <v>34.950000000000003</v>
      </c>
      <c r="Q714" s="9">
        <f t="shared" si="23"/>
        <v>664.05</v>
      </c>
      <c r="R714" s="5">
        <v>13</v>
      </c>
      <c r="S714" s="5" t="s">
        <v>2034</v>
      </c>
      <c r="T714" s="5" t="s">
        <v>2036</v>
      </c>
    </row>
    <row r="715" spans="1:20" x14ac:dyDescent="0.25">
      <c r="A715" s="5" t="s">
        <v>728</v>
      </c>
      <c r="B715" s="10">
        <v>45440</v>
      </c>
      <c r="C715" s="5" t="s">
        <v>1019</v>
      </c>
      <c r="D715" s="11" t="s">
        <v>1731</v>
      </c>
      <c r="E715" s="5" t="s">
        <v>2764</v>
      </c>
      <c r="F715" s="5">
        <v>35</v>
      </c>
      <c r="G715" s="5" t="str" cm="1">
        <f t="array" ref="G715">_xlfn.IFS(F715&lt;12,"Child",F715&lt;18,"Teen",F715&lt;25,"Young",F715&lt;40,"Adult",F715&lt;60,"Middle Age",F715&gt;=60,"Old")</f>
        <v>Adult</v>
      </c>
      <c r="H715" s="5" t="s">
        <v>2043</v>
      </c>
      <c r="I715" s="5" t="s">
        <v>2052</v>
      </c>
      <c r="J715" s="5" t="s">
        <v>2022</v>
      </c>
      <c r="K715" s="5" t="str">
        <f>VLOOKUP(J715,Sheet2!$A$1:$B$11,2,FALSE)</f>
        <v>Sportswear</v>
      </c>
      <c r="L715" s="5">
        <v>4</v>
      </c>
      <c r="M715" s="6">
        <v>537</v>
      </c>
      <c r="N715" s="6">
        <v>2148</v>
      </c>
      <c r="O715" s="7">
        <v>0.05</v>
      </c>
      <c r="P715" s="8">
        <f t="shared" si="22"/>
        <v>107.4</v>
      </c>
      <c r="Q715" s="9">
        <f t="shared" si="23"/>
        <v>2040.6</v>
      </c>
      <c r="R715" s="5">
        <v>40</v>
      </c>
      <c r="S715" s="5" t="s">
        <v>2034</v>
      </c>
      <c r="T715" s="5" t="s">
        <v>2036</v>
      </c>
    </row>
    <row r="716" spans="1:20" x14ac:dyDescent="0.25">
      <c r="A716" s="5" t="s">
        <v>729</v>
      </c>
      <c r="B716" s="10">
        <v>45408</v>
      </c>
      <c r="C716" s="5" t="s">
        <v>1014</v>
      </c>
      <c r="D716" s="11" t="s">
        <v>1732</v>
      </c>
      <c r="E716" s="5" t="s">
        <v>2765</v>
      </c>
      <c r="F716" s="5">
        <v>21</v>
      </c>
      <c r="G716" s="5" t="str" cm="1">
        <f t="array" ref="G716">_xlfn.IFS(F716&lt;12,"Child",F716&lt;18,"Teen",F716&lt;25,"Young",F716&lt;40,"Adult",F716&lt;60,"Middle Age",F716&gt;=60,"Old")</f>
        <v>Young</v>
      </c>
      <c r="H716" s="5" t="s">
        <v>2043</v>
      </c>
      <c r="I716" s="5" t="s">
        <v>2052</v>
      </c>
      <c r="J716" s="5" t="s">
        <v>2021</v>
      </c>
      <c r="K716" s="5" t="str">
        <f>VLOOKUP(J716,Sheet2!$A$1:$B$11,2,FALSE)</f>
        <v>Casual Wear</v>
      </c>
      <c r="L716" s="5">
        <v>2</v>
      </c>
      <c r="M716" s="6">
        <v>434</v>
      </c>
      <c r="N716" s="6">
        <v>868</v>
      </c>
      <c r="O716" s="7">
        <v>0.2</v>
      </c>
      <c r="P716" s="8">
        <f t="shared" si="22"/>
        <v>173.60000000000002</v>
      </c>
      <c r="Q716" s="9">
        <f t="shared" si="23"/>
        <v>694.4</v>
      </c>
      <c r="R716" s="5">
        <v>13</v>
      </c>
      <c r="S716" s="5" t="s">
        <v>2033</v>
      </c>
      <c r="T716" s="5" t="s">
        <v>2037</v>
      </c>
    </row>
    <row r="717" spans="1:20" x14ac:dyDescent="0.25">
      <c r="A717" s="5" t="s">
        <v>730</v>
      </c>
      <c r="B717" s="10">
        <v>45595</v>
      </c>
      <c r="C717" s="5" t="s">
        <v>1017</v>
      </c>
      <c r="D717" s="11" t="s">
        <v>1733</v>
      </c>
      <c r="E717" s="5" t="s">
        <v>2766</v>
      </c>
      <c r="F717" s="5">
        <v>51</v>
      </c>
      <c r="G717" s="5" t="str" cm="1">
        <f t="array" ref="G717">_xlfn.IFS(F717&lt;12,"Child",F717&lt;18,"Teen",F717&lt;25,"Young",F717&lt;40,"Adult",F717&lt;60,"Middle Age",F717&gt;=60,"Old")</f>
        <v>Middle Age</v>
      </c>
      <c r="H717" s="5" t="s">
        <v>2044</v>
      </c>
      <c r="I717" s="5" t="s">
        <v>2047</v>
      </c>
      <c r="J717" s="5" t="s">
        <v>2018</v>
      </c>
      <c r="K717" s="5" t="str">
        <f>VLOOKUP(J717,Sheet2!$A$1:$B$11,2,FALSE)</f>
        <v>Sportswear</v>
      </c>
      <c r="L717" s="5">
        <v>5</v>
      </c>
      <c r="M717" s="6">
        <v>1187</v>
      </c>
      <c r="N717" s="6">
        <v>5935</v>
      </c>
      <c r="O717" s="7">
        <v>0</v>
      </c>
      <c r="P717" s="8">
        <f t="shared" si="22"/>
        <v>0</v>
      </c>
      <c r="Q717" s="9">
        <f t="shared" si="23"/>
        <v>5935</v>
      </c>
      <c r="R717" s="5">
        <v>118</v>
      </c>
      <c r="S717" s="5" t="s">
        <v>2032</v>
      </c>
      <c r="T717" s="5" t="s">
        <v>2035</v>
      </c>
    </row>
    <row r="718" spans="1:20" x14ac:dyDescent="0.25">
      <c r="A718" s="5" t="s">
        <v>731</v>
      </c>
      <c r="B718" s="10">
        <v>45390</v>
      </c>
      <c r="C718" s="5" t="s">
        <v>1016</v>
      </c>
      <c r="D718" s="11" t="s">
        <v>1734</v>
      </c>
      <c r="E718" s="5" t="s">
        <v>2767</v>
      </c>
      <c r="F718" s="5">
        <v>48</v>
      </c>
      <c r="G718" s="5" t="str" cm="1">
        <f t="array" ref="G718">_xlfn.IFS(F718&lt;12,"Child",F718&lt;18,"Teen",F718&lt;25,"Young",F718&lt;40,"Adult",F718&lt;60,"Middle Age",F718&gt;=60,"Old")</f>
        <v>Middle Age</v>
      </c>
      <c r="H718" s="5" t="s">
        <v>2043</v>
      </c>
      <c r="I718" s="5" t="s">
        <v>2050</v>
      </c>
      <c r="J718" s="5" t="s">
        <v>2016</v>
      </c>
      <c r="K718" s="5" t="str">
        <f>VLOOKUP(J718,Sheet2!$A$1:$B$11,2,FALSE)</f>
        <v>Winter Wear</v>
      </c>
      <c r="L718" s="5">
        <v>4</v>
      </c>
      <c r="M718" s="6">
        <v>421</v>
      </c>
      <c r="N718" s="6">
        <v>1684</v>
      </c>
      <c r="O718" s="7">
        <v>0.2</v>
      </c>
      <c r="P718" s="8">
        <f t="shared" si="22"/>
        <v>336.8</v>
      </c>
      <c r="Q718" s="9">
        <f t="shared" si="23"/>
        <v>1347.2</v>
      </c>
      <c r="R718" s="5">
        <v>26</v>
      </c>
      <c r="S718" s="5" t="s">
        <v>2033</v>
      </c>
      <c r="T718" s="5" t="s">
        <v>2037</v>
      </c>
    </row>
    <row r="719" spans="1:20" x14ac:dyDescent="0.25">
      <c r="A719" s="5" t="s">
        <v>732</v>
      </c>
      <c r="B719" s="10">
        <v>45485</v>
      </c>
      <c r="C719" s="5" t="s">
        <v>1014</v>
      </c>
      <c r="D719" s="11" t="s">
        <v>1735</v>
      </c>
      <c r="E719" s="5" t="s">
        <v>2768</v>
      </c>
      <c r="F719" s="5">
        <v>25</v>
      </c>
      <c r="G719" s="5" t="str" cm="1">
        <f t="array" ref="G719">_xlfn.IFS(F719&lt;12,"Child",F719&lt;18,"Teen",F719&lt;25,"Young",F719&lt;40,"Adult",F719&lt;60,"Middle Age",F719&gt;=60,"Old")</f>
        <v>Adult</v>
      </c>
      <c r="H719" s="5" t="s">
        <v>2044</v>
      </c>
      <c r="I719" s="5" t="s">
        <v>2050</v>
      </c>
      <c r="J719" s="5" t="s">
        <v>2024</v>
      </c>
      <c r="K719" s="5" t="str">
        <f>VLOOKUP(J719,Sheet2!$A$1:$B$11,2,FALSE)</f>
        <v>Fashion Accessories</v>
      </c>
      <c r="L719" s="5">
        <v>2</v>
      </c>
      <c r="M719" s="6">
        <v>1178</v>
      </c>
      <c r="N719" s="6">
        <v>2356</v>
      </c>
      <c r="O719" s="7">
        <v>0.2</v>
      </c>
      <c r="P719" s="8">
        <f t="shared" si="22"/>
        <v>471.20000000000005</v>
      </c>
      <c r="Q719" s="9">
        <f t="shared" si="23"/>
        <v>1884.8</v>
      </c>
      <c r="R719" s="5">
        <v>37</v>
      </c>
      <c r="S719" s="5" t="s">
        <v>2033</v>
      </c>
      <c r="T719" s="5" t="s">
        <v>2036</v>
      </c>
    </row>
    <row r="720" spans="1:20" x14ac:dyDescent="0.25">
      <c r="A720" s="5" t="s">
        <v>733</v>
      </c>
      <c r="B720" s="10">
        <v>45408</v>
      </c>
      <c r="C720" s="5" t="s">
        <v>1014</v>
      </c>
      <c r="D720" s="11" t="s">
        <v>1736</v>
      </c>
      <c r="E720" s="5" t="s">
        <v>2769</v>
      </c>
      <c r="F720" s="5">
        <v>58</v>
      </c>
      <c r="G720" s="5" t="str" cm="1">
        <f t="array" ref="G720">_xlfn.IFS(F720&lt;12,"Child",F720&lt;18,"Teen",F720&lt;25,"Young",F720&lt;40,"Adult",F720&lt;60,"Middle Age",F720&gt;=60,"Old")</f>
        <v>Middle Age</v>
      </c>
      <c r="H720" s="5" t="s">
        <v>2044</v>
      </c>
      <c r="I720" s="5" t="s">
        <v>2052</v>
      </c>
      <c r="J720" s="5" t="s">
        <v>2017</v>
      </c>
      <c r="K720" s="5" t="str">
        <f>VLOOKUP(J720,Sheet2!$A$1:$B$11,2,FALSE)</f>
        <v>Casual Wear</v>
      </c>
      <c r="L720" s="5">
        <v>3</v>
      </c>
      <c r="M720" s="6">
        <v>502</v>
      </c>
      <c r="N720" s="6">
        <v>1506</v>
      </c>
      <c r="O720" s="7">
        <v>0.05</v>
      </c>
      <c r="P720" s="8">
        <f t="shared" si="22"/>
        <v>75.3</v>
      </c>
      <c r="Q720" s="9">
        <f t="shared" si="23"/>
        <v>1430.7</v>
      </c>
      <c r="R720" s="5">
        <v>28</v>
      </c>
      <c r="S720" s="5" t="s">
        <v>2034</v>
      </c>
      <c r="T720" s="5" t="s">
        <v>2035</v>
      </c>
    </row>
    <row r="721" spans="1:20" x14ac:dyDescent="0.25">
      <c r="A721" s="5" t="s">
        <v>734</v>
      </c>
      <c r="B721" s="10">
        <v>45405</v>
      </c>
      <c r="C721" s="5" t="s">
        <v>1019</v>
      </c>
      <c r="D721" s="11" t="s">
        <v>1737</v>
      </c>
      <c r="E721" s="5" t="s">
        <v>2770</v>
      </c>
      <c r="F721" s="5">
        <v>50</v>
      </c>
      <c r="G721" s="5" t="str" cm="1">
        <f t="array" ref="G721">_xlfn.IFS(F721&lt;12,"Child",F721&lt;18,"Teen",F721&lt;25,"Young",F721&lt;40,"Adult",F721&lt;60,"Middle Age",F721&gt;=60,"Old")</f>
        <v>Middle Age</v>
      </c>
      <c r="H721" s="5" t="s">
        <v>2043</v>
      </c>
      <c r="I721" s="5" t="s">
        <v>2052</v>
      </c>
      <c r="J721" s="5" t="s">
        <v>2018</v>
      </c>
      <c r="K721" s="5" t="str">
        <f>VLOOKUP(J721,Sheet2!$A$1:$B$11,2,FALSE)</f>
        <v>Sportswear</v>
      </c>
      <c r="L721" s="5">
        <v>5</v>
      </c>
      <c r="M721" s="6">
        <v>1054</v>
      </c>
      <c r="N721" s="6">
        <v>5270</v>
      </c>
      <c r="O721" s="7">
        <v>0.2</v>
      </c>
      <c r="P721" s="8">
        <f t="shared" si="22"/>
        <v>1054</v>
      </c>
      <c r="Q721" s="9">
        <f t="shared" si="23"/>
        <v>4216</v>
      </c>
      <c r="R721" s="5">
        <v>84</v>
      </c>
      <c r="S721" s="5" t="s">
        <v>2033</v>
      </c>
      <c r="T721" s="5" t="s">
        <v>2036</v>
      </c>
    </row>
    <row r="722" spans="1:20" x14ac:dyDescent="0.25">
      <c r="A722" s="5" t="s">
        <v>735</v>
      </c>
      <c r="B722" s="10">
        <v>45700</v>
      </c>
      <c r="C722" s="5" t="s">
        <v>1017</v>
      </c>
      <c r="D722" s="11" t="s">
        <v>1738</v>
      </c>
      <c r="E722" s="5" t="s">
        <v>2771</v>
      </c>
      <c r="F722" s="5">
        <v>53</v>
      </c>
      <c r="G722" s="5" t="str" cm="1">
        <f t="array" ref="G722">_xlfn.IFS(F722&lt;12,"Child",F722&lt;18,"Teen",F722&lt;25,"Young",F722&lt;40,"Adult",F722&lt;60,"Middle Age",F722&gt;=60,"Old")</f>
        <v>Middle Age</v>
      </c>
      <c r="H722" s="5" t="s">
        <v>2044</v>
      </c>
      <c r="I722" s="5" t="s">
        <v>2048</v>
      </c>
      <c r="J722" s="5" t="s">
        <v>2018</v>
      </c>
      <c r="K722" s="5" t="str">
        <f>VLOOKUP(J722,Sheet2!$A$1:$B$11,2,FALSE)</f>
        <v>Sportswear</v>
      </c>
      <c r="L722" s="5">
        <v>1</v>
      </c>
      <c r="M722" s="6">
        <v>444</v>
      </c>
      <c r="N722" s="6">
        <v>444</v>
      </c>
      <c r="O722" s="7">
        <v>0.05</v>
      </c>
      <c r="P722" s="8">
        <f t="shared" si="22"/>
        <v>22.200000000000003</v>
      </c>
      <c r="Q722" s="9">
        <f t="shared" si="23"/>
        <v>421.8</v>
      </c>
      <c r="R722" s="5">
        <v>8</v>
      </c>
      <c r="S722" s="5" t="s">
        <v>2032</v>
      </c>
      <c r="T722" s="5" t="s">
        <v>2037</v>
      </c>
    </row>
    <row r="723" spans="1:20" x14ac:dyDescent="0.25">
      <c r="A723" s="5" t="s">
        <v>736</v>
      </c>
      <c r="B723" s="10">
        <v>45668</v>
      </c>
      <c r="C723" s="5" t="s">
        <v>1020</v>
      </c>
      <c r="D723" s="11" t="s">
        <v>1739</v>
      </c>
      <c r="E723" s="5" t="s">
        <v>2772</v>
      </c>
      <c r="F723" s="5">
        <v>39</v>
      </c>
      <c r="G723" s="5" t="str" cm="1">
        <f t="array" ref="G723">_xlfn.IFS(F723&lt;12,"Child",F723&lt;18,"Teen",F723&lt;25,"Young",F723&lt;40,"Adult",F723&lt;60,"Middle Age",F723&gt;=60,"Old")</f>
        <v>Adult</v>
      </c>
      <c r="H723" s="5" t="s">
        <v>2044</v>
      </c>
      <c r="I723" s="5" t="s">
        <v>2051</v>
      </c>
      <c r="J723" s="5" t="s">
        <v>2024</v>
      </c>
      <c r="K723" s="5" t="str">
        <f>VLOOKUP(J723,Sheet2!$A$1:$B$11,2,FALSE)</f>
        <v>Fashion Accessories</v>
      </c>
      <c r="L723" s="5">
        <v>4</v>
      </c>
      <c r="M723" s="6">
        <v>569</v>
      </c>
      <c r="N723" s="6">
        <v>2276</v>
      </c>
      <c r="O723" s="7">
        <v>0</v>
      </c>
      <c r="P723" s="8">
        <f t="shared" si="22"/>
        <v>0</v>
      </c>
      <c r="Q723" s="9">
        <f t="shared" si="23"/>
        <v>2276</v>
      </c>
      <c r="R723" s="5">
        <v>45</v>
      </c>
      <c r="S723" s="5" t="s">
        <v>2033</v>
      </c>
      <c r="T723" s="5" t="s">
        <v>2035</v>
      </c>
    </row>
    <row r="724" spans="1:20" x14ac:dyDescent="0.25">
      <c r="A724" s="5" t="s">
        <v>737</v>
      </c>
      <c r="B724" s="10">
        <v>45414</v>
      </c>
      <c r="C724" s="5" t="s">
        <v>1018</v>
      </c>
      <c r="D724" s="11" t="s">
        <v>1740</v>
      </c>
      <c r="E724" s="5" t="s">
        <v>2773</v>
      </c>
      <c r="F724" s="5">
        <v>21</v>
      </c>
      <c r="G724" s="5" t="str" cm="1">
        <f t="array" ref="G724">_xlfn.IFS(F724&lt;12,"Child",F724&lt;18,"Teen",F724&lt;25,"Young",F724&lt;40,"Adult",F724&lt;60,"Middle Age",F724&gt;=60,"Old")</f>
        <v>Young</v>
      </c>
      <c r="H724" s="5" t="s">
        <v>2043</v>
      </c>
      <c r="I724" s="5" t="s">
        <v>2053</v>
      </c>
      <c r="J724" s="5" t="s">
        <v>2021</v>
      </c>
      <c r="K724" s="5" t="str">
        <f>VLOOKUP(J724,Sheet2!$A$1:$B$11,2,FALSE)</f>
        <v>Casual Wear</v>
      </c>
      <c r="L724" s="5">
        <v>1</v>
      </c>
      <c r="M724" s="6">
        <v>761</v>
      </c>
      <c r="N724" s="6">
        <v>761</v>
      </c>
      <c r="O724" s="7">
        <v>0.15</v>
      </c>
      <c r="P724" s="8">
        <f t="shared" si="22"/>
        <v>114.14999999999999</v>
      </c>
      <c r="Q724" s="9">
        <f t="shared" si="23"/>
        <v>646.85</v>
      </c>
      <c r="R724" s="5">
        <v>12</v>
      </c>
      <c r="S724" s="5" t="s">
        <v>2034</v>
      </c>
      <c r="T724" s="5" t="s">
        <v>2035</v>
      </c>
    </row>
    <row r="725" spans="1:20" x14ac:dyDescent="0.25">
      <c r="A725" s="5" t="s">
        <v>738</v>
      </c>
      <c r="B725" s="10">
        <v>45599</v>
      </c>
      <c r="C725" s="5" t="s">
        <v>1015</v>
      </c>
      <c r="D725" s="11" t="s">
        <v>1741</v>
      </c>
      <c r="E725" s="5" t="s">
        <v>2774</v>
      </c>
      <c r="F725" s="5">
        <v>31</v>
      </c>
      <c r="G725" s="5" t="str" cm="1">
        <f t="array" ref="G725">_xlfn.IFS(F725&lt;12,"Child",F725&lt;18,"Teen",F725&lt;25,"Young",F725&lt;40,"Adult",F725&lt;60,"Middle Age",F725&gt;=60,"Old")</f>
        <v>Adult</v>
      </c>
      <c r="H725" s="5" t="s">
        <v>2043</v>
      </c>
      <c r="I725" s="5" t="s">
        <v>2051</v>
      </c>
      <c r="J725" s="5" t="s">
        <v>2021</v>
      </c>
      <c r="K725" s="5" t="str">
        <f>VLOOKUP(J725,Sheet2!$A$1:$B$11,2,FALSE)</f>
        <v>Casual Wear</v>
      </c>
      <c r="L725" s="5">
        <v>2</v>
      </c>
      <c r="M725" s="6">
        <v>697</v>
      </c>
      <c r="N725" s="6">
        <v>1394</v>
      </c>
      <c r="O725" s="7">
        <v>0.15</v>
      </c>
      <c r="P725" s="8">
        <f t="shared" si="22"/>
        <v>209.1</v>
      </c>
      <c r="Q725" s="9">
        <f t="shared" si="23"/>
        <v>1184.9000000000001</v>
      </c>
      <c r="R725" s="5">
        <v>23</v>
      </c>
      <c r="S725" s="5" t="s">
        <v>2033</v>
      </c>
      <c r="T725" s="5" t="s">
        <v>2037</v>
      </c>
    </row>
    <row r="726" spans="1:20" x14ac:dyDescent="0.25">
      <c r="A726" s="5" t="s">
        <v>739</v>
      </c>
      <c r="B726" s="10">
        <v>45446</v>
      </c>
      <c r="C726" s="5" t="s">
        <v>1016</v>
      </c>
      <c r="D726" s="11" t="s">
        <v>1742</v>
      </c>
      <c r="E726" s="5" t="s">
        <v>2775</v>
      </c>
      <c r="F726" s="5">
        <v>29</v>
      </c>
      <c r="G726" s="5" t="str" cm="1">
        <f t="array" ref="G726">_xlfn.IFS(F726&lt;12,"Child",F726&lt;18,"Teen",F726&lt;25,"Young",F726&lt;40,"Adult",F726&lt;60,"Middle Age",F726&gt;=60,"Old")</f>
        <v>Adult</v>
      </c>
      <c r="H726" s="5" t="s">
        <v>2044</v>
      </c>
      <c r="I726" s="5" t="s">
        <v>2048</v>
      </c>
      <c r="J726" s="5" t="s">
        <v>2019</v>
      </c>
      <c r="K726" s="5" t="str">
        <f>VLOOKUP(J726,Sheet2!$A$1:$B$11,2,FALSE)</f>
        <v>Formal Wear</v>
      </c>
      <c r="L726" s="5">
        <v>1</v>
      </c>
      <c r="M726" s="6">
        <v>1163</v>
      </c>
      <c r="N726" s="6">
        <v>1163</v>
      </c>
      <c r="O726" s="7">
        <v>0.15</v>
      </c>
      <c r="P726" s="8">
        <f t="shared" si="22"/>
        <v>174.45</v>
      </c>
      <c r="Q726" s="9">
        <f t="shared" si="23"/>
        <v>988.55</v>
      </c>
      <c r="R726" s="5">
        <v>19</v>
      </c>
      <c r="S726" s="5" t="s">
        <v>2034</v>
      </c>
      <c r="T726" s="5" t="s">
        <v>2036</v>
      </c>
    </row>
    <row r="727" spans="1:20" x14ac:dyDescent="0.25">
      <c r="A727" s="5" t="s">
        <v>740</v>
      </c>
      <c r="B727" s="10">
        <v>45555</v>
      </c>
      <c r="C727" s="5" t="s">
        <v>1014</v>
      </c>
      <c r="D727" s="11" t="s">
        <v>1743</v>
      </c>
      <c r="E727" s="5" t="s">
        <v>2776</v>
      </c>
      <c r="F727" s="5">
        <v>47</v>
      </c>
      <c r="G727" s="5" t="str" cm="1">
        <f t="array" ref="G727">_xlfn.IFS(F727&lt;12,"Child",F727&lt;18,"Teen",F727&lt;25,"Young",F727&lt;40,"Adult",F727&lt;60,"Middle Age",F727&gt;=60,"Old")</f>
        <v>Middle Age</v>
      </c>
      <c r="H727" s="5" t="s">
        <v>2043</v>
      </c>
      <c r="I727" s="5" t="s">
        <v>2047</v>
      </c>
      <c r="J727" s="5" t="s">
        <v>2016</v>
      </c>
      <c r="K727" s="5" t="str">
        <f>VLOOKUP(J727,Sheet2!$A$1:$B$11,2,FALSE)</f>
        <v>Winter Wear</v>
      </c>
      <c r="L727" s="5">
        <v>3</v>
      </c>
      <c r="M727" s="6">
        <v>866</v>
      </c>
      <c r="N727" s="6">
        <v>2598</v>
      </c>
      <c r="O727" s="7">
        <v>0.05</v>
      </c>
      <c r="P727" s="8">
        <f t="shared" si="22"/>
        <v>129.9</v>
      </c>
      <c r="Q727" s="9">
        <f t="shared" si="23"/>
        <v>2468.1</v>
      </c>
      <c r="R727" s="5">
        <v>49</v>
      </c>
      <c r="S727" s="5" t="s">
        <v>2033</v>
      </c>
      <c r="T727" s="5" t="s">
        <v>2036</v>
      </c>
    </row>
    <row r="728" spans="1:20" x14ac:dyDescent="0.25">
      <c r="A728" s="5" t="s">
        <v>741</v>
      </c>
      <c r="B728" s="10">
        <v>45637</v>
      </c>
      <c r="C728" s="5" t="s">
        <v>1017</v>
      </c>
      <c r="D728" s="11" t="s">
        <v>1744</v>
      </c>
      <c r="E728" s="5" t="s">
        <v>2777</v>
      </c>
      <c r="F728" s="5">
        <v>53</v>
      </c>
      <c r="G728" s="5" t="str" cm="1">
        <f t="array" ref="G728">_xlfn.IFS(F728&lt;12,"Child",F728&lt;18,"Teen",F728&lt;25,"Young",F728&lt;40,"Adult",F728&lt;60,"Middle Age",F728&gt;=60,"Old")</f>
        <v>Middle Age</v>
      </c>
      <c r="H728" s="5" t="s">
        <v>2044</v>
      </c>
      <c r="I728" s="5" t="s">
        <v>2048</v>
      </c>
      <c r="J728" s="5" t="s">
        <v>2017</v>
      </c>
      <c r="K728" s="5" t="str">
        <f>VLOOKUP(J728,Sheet2!$A$1:$B$11,2,FALSE)</f>
        <v>Casual Wear</v>
      </c>
      <c r="L728" s="5">
        <v>4</v>
      </c>
      <c r="M728" s="6">
        <v>1063</v>
      </c>
      <c r="N728" s="6">
        <v>4252</v>
      </c>
      <c r="O728" s="7">
        <v>0</v>
      </c>
      <c r="P728" s="8">
        <f t="shared" si="22"/>
        <v>0</v>
      </c>
      <c r="Q728" s="9">
        <f t="shared" si="23"/>
        <v>4252</v>
      </c>
      <c r="R728" s="5">
        <v>85</v>
      </c>
      <c r="S728" s="5" t="s">
        <v>2033</v>
      </c>
      <c r="T728" s="5" t="s">
        <v>2036</v>
      </c>
    </row>
    <row r="729" spans="1:20" x14ac:dyDescent="0.25">
      <c r="A729" s="5" t="s">
        <v>742</v>
      </c>
      <c r="B729" s="10">
        <v>45575</v>
      </c>
      <c r="C729" s="5" t="s">
        <v>1018</v>
      </c>
      <c r="D729" s="11" t="s">
        <v>1745</v>
      </c>
      <c r="E729" s="5" t="s">
        <v>2778</v>
      </c>
      <c r="F729" s="5">
        <v>19</v>
      </c>
      <c r="G729" s="5" t="str" cm="1">
        <f t="array" ref="G729">_xlfn.IFS(F729&lt;12,"Child",F729&lt;18,"Teen",F729&lt;25,"Young",F729&lt;40,"Adult",F729&lt;60,"Middle Age",F729&gt;=60,"Old")</f>
        <v>Young</v>
      </c>
      <c r="H729" s="5" t="s">
        <v>2043</v>
      </c>
      <c r="I729" s="5" t="s">
        <v>2050</v>
      </c>
      <c r="J729" s="5" t="s">
        <v>2020</v>
      </c>
      <c r="K729" s="5" t="str">
        <f>VLOOKUP(J729,Sheet2!$A$1:$B$11,2,FALSE)</f>
        <v>Summer Wear</v>
      </c>
      <c r="L729" s="5">
        <v>1</v>
      </c>
      <c r="M729" s="6">
        <v>476</v>
      </c>
      <c r="N729" s="6">
        <v>476</v>
      </c>
      <c r="O729" s="7">
        <v>0</v>
      </c>
      <c r="P729" s="8">
        <f t="shared" si="22"/>
        <v>0</v>
      </c>
      <c r="Q729" s="9">
        <f t="shared" si="23"/>
        <v>476</v>
      </c>
      <c r="R729" s="5">
        <v>9</v>
      </c>
      <c r="S729" s="5" t="s">
        <v>2033</v>
      </c>
      <c r="T729" s="5" t="s">
        <v>2036</v>
      </c>
    </row>
    <row r="730" spans="1:20" x14ac:dyDescent="0.25">
      <c r="A730" s="5" t="s">
        <v>743</v>
      </c>
      <c r="B730" s="10">
        <v>45705</v>
      </c>
      <c r="C730" s="5" t="s">
        <v>1016</v>
      </c>
      <c r="D730" s="11" t="s">
        <v>1746</v>
      </c>
      <c r="E730" s="5" t="s">
        <v>2779</v>
      </c>
      <c r="F730" s="5">
        <v>26</v>
      </c>
      <c r="G730" s="5" t="str" cm="1">
        <f t="array" ref="G730">_xlfn.IFS(F730&lt;12,"Child",F730&lt;18,"Teen",F730&lt;25,"Young",F730&lt;40,"Adult",F730&lt;60,"Middle Age",F730&gt;=60,"Old")</f>
        <v>Adult</v>
      </c>
      <c r="H730" s="5" t="s">
        <v>2043</v>
      </c>
      <c r="I730" s="5" t="s">
        <v>2045</v>
      </c>
      <c r="J730" s="5" t="s">
        <v>2018</v>
      </c>
      <c r="K730" s="5" t="str">
        <f>VLOOKUP(J730,Sheet2!$A$1:$B$11,2,FALSE)</f>
        <v>Sportswear</v>
      </c>
      <c r="L730" s="5">
        <v>4</v>
      </c>
      <c r="M730" s="6">
        <v>1153</v>
      </c>
      <c r="N730" s="6">
        <v>4612</v>
      </c>
      <c r="O730" s="7">
        <v>0.1</v>
      </c>
      <c r="P730" s="8">
        <f t="shared" si="22"/>
        <v>461.20000000000005</v>
      </c>
      <c r="Q730" s="9">
        <f t="shared" si="23"/>
        <v>4150.8</v>
      </c>
      <c r="R730" s="5">
        <v>83</v>
      </c>
      <c r="S730" s="5" t="s">
        <v>2033</v>
      </c>
      <c r="T730" s="5" t="s">
        <v>2035</v>
      </c>
    </row>
    <row r="731" spans="1:20" x14ac:dyDescent="0.25">
      <c r="A731" s="5" t="s">
        <v>744</v>
      </c>
      <c r="B731" s="10">
        <v>45660</v>
      </c>
      <c r="C731" s="5" t="s">
        <v>1014</v>
      </c>
      <c r="D731" s="11" t="s">
        <v>1747</v>
      </c>
      <c r="E731" s="5" t="s">
        <v>2780</v>
      </c>
      <c r="F731" s="5">
        <v>18</v>
      </c>
      <c r="G731" s="5" t="str" cm="1">
        <f t="array" ref="G731">_xlfn.IFS(F731&lt;12,"Child",F731&lt;18,"Teen",F731&lt;25,"Young",F731&lt;40,"Adult",F731&lt;60,"Middle Age",F731&gt;=60,"Old")</f>
        <v>Young</v>
      </c>
      <c r="H731" s="5" t="s">
        <v>2043</v>
      </c>
      <c r="I731" s="5" t="s">
        <v>2053</v>
      </c>
      <c r="J731" s="5" t="s">
        <v>2016</v>
      </c>
      <c r="K731" s="5" t="str">
        <f>VLOOKUP(J731,Sheet2!$A$1:$B$11,2,FALSE)</f>
        <v>Winter Wear</v>
      </c>
      <c r="L731" s="5">
        <v>4</v>
      </c>
      <c r="M731" s="6">
        <v>293</v>
      </c>
      <c r="N731" s="6">
        <v>1172</v>
      </c>
      <c r="O731" s="7">
        <v>0.2</v>
      </c>
      <c r="P731" s="8">
        <f t="shared" si="22"/>
        <v>234.4</v>
      </c>
      <c r="Q731" s="9">
        <f t="shared" si="23"/>
        <v>937.6</v>
      </c>
      <c r="R731" s="5">
        <v>18</v>
      </c>
      <c r="S731" s="5" t="s">
        <v>2034</v>
      </c>
      <c r="T731" s="5" t="s">
        <v>2037</v>
      </c>
    </row>
    <row r="732" spans="1:20" x14ac:dyDescent="0.25">
      <c r="A732" s="5" t="s">
        <v>745</v>
      </c>
      <c r="B732" s="10">
        <v>45565</v>
      </c>
      <c r="C732" s="5" t="s">
        <v>1016</v>
      </c>
      <c r="D732" s="11" t="s">
        <v>1748</v>
      </c>
      <c r="E732" s="5" t="s">
        <v>2781</v>
      </c>
      <c r="F732" s="5">
        <v>38</v>
      </c>
      <c r="G732" s="5" t="str" cm="1">
        <f t="array" ref="G732">_xlfn.IFS(F732&lt;12,"Child",F732&lt;18,"Teen",F732&lt;25,"Young",F732&lt;40,"Adult",F732&lt;60,"Middle Age",F732&gt;=60,"Old")</f>
        <v>Adult</v>
      </c>
      <c r="H732" s="5" t="s">
        <v>2044</v>
      </c>
      <c r="I732" s="5" t="s">
        <v>2053</v>
      </c>
      <c r="J732" s="5" t="s">
        <v>2025</v>
      </c>
      <c r="K732" s="5" t="str">
        <f>VLOOKUP(J732,Sheet2!$A$1:$B$11,2,FALSE)</f>
        <v>Formal Wear</v>
      </c>
      <c r="L732" s="5">
        <v>1</v>
      </c>
      <c r="M732" s="6">
        <v>154</v>
      </c>
      <c r="N732" s="6">
        <v>154</v>
      </c>
      <c r="O732" s="7">
        <v>0.05</v>
      </c>
      <c r="P732" s="8">
        <f t="shared" si="22"/>
        <v>7.7</v>
      </c>
      <c r="Q732" s="9">
        <f t="shared" si="23"/>
        <v>146.30000000000001</v>
      </c>
      <c r="R732" s="5">
        <v>2</v>
      </c>
      <c r="S732" s="5" t="s">
        <v>2032</v>
      </c>
      <c r="T732" s="5" t="s">
        <v>2037</v>
      </c>
    </row>
    <row r="733" spans="1:20" x14ac:dyDescent="0.25">
      <c r="A733" s="5" t="s">
        <v>746</v>
      </c>
      <c r="B733" s="10">
        <v>45554</v>
      </c>
      <c r="C733" s="5" t="s">
        <v>1018</v>
      </c>
      <c r="D733" s="11" t="s">
        <v>1749</v>
      </c>
      <c r="E733" s="5" t="s">
        <v>2782</v>
      </c>
      <c r="F733" s="5">
        <v>44</v>
      </c>
      <c r="G733" s="5" t="str" cm="1">
        <f t="array" ref="G733">_xlfn.IFS(F733&lt;12,"Child",F733&lt;18,"Teen",F733&lt;25,"Young",F733&lt;40,"Adult",F733&lt;60,"Middle Age",F733&gt;=60,"Old")</f>
        <v>Middle Age</v>
      </c>
      <c r="H733" s="5" t="s">
        <v>2043</v>
      </c>
      <c r="I733" s="5" t="s">
        <v>2015</v>
      </c>
      <c r="J733" s="5" t="s">
        <v>2018</v>
      </c>
      <c r="K733" s="5" t="str">
        <f>VLOOKUP(J733,Sheet2!$A$1:$B$11,2,FALSE)</f>
        <v>Sportswear</v>
      </c>
      <c r="L733" s="5">
        <v>5</v>
      </c>
      <c r="M733" s="6">
        <v>657</v>
      </c>
      <c r="N733" s="6">
        <v>3285</v>
      </c>
      <c r="O733" s="7">
        <v>0.1</v>
      </c>
      <c r="P733" s="8">
        <f t="shared" si="22"/>
        <v>328.5</v>
      </c>
      <c r="Q733" s="9">
        <f t="shared" si="23"/>
        <v>2956.5</v>
      </c>
      <c r="R733" s="5">
        <v>59</v>
      </c>
      <c r="S733" s="5" t="s">
        <v>2034</v>
      </c>
      <c r="T733" s="5" t="s">
        <v>2037</v>
      </c>
    </row>
    <row r="734" spans="1:20" x14ac:dyDescent="0.25">
      <c r="A734" s="5" t="s">
        <v>747</v>
      </c>
      <c r="B734" s="10">
        <v>45612</v>
      </c>
      <c r="C734" s="5" t="s">
        <v>1020</v>
      </c>
      <c r="D734" s="11" t="s">
        <v>1750</v>
      </c>
      <c r="E734" s="5" t="s">
        <v>2783</v>
      </c>
      <c r="F734" s="5">
        <v>53</v>
      </c>
      <c r="G734" s="5" t="str" cm="1">
        <f t="array" ref="G734">_xlfn.IFS(F734&lt;12,"Child",F734&lt;18,"Teen",F734&lt;25,"Young",F734&lt;40,"Adult",F734&lt;60,"Middle Age",F734&gt;=60,"Old")</f>
        <v>Middle Age</v>
      </c>
      <c r="H734" s="5" t="s">
        <v>2044</v>
      </c>
      <c r="I734" s="5" t="s">
        <v>2050</v>
      </c>
      <c r="J734" s="5" t="s">
        <v>2024</v>
      </c>
      <c r="K734" s="5" t="str">
        <f>VLOOKUP(J734,Sheet2!$A$1:$B$11,2,FALSE)</f>
        <v>Fashion Accessories</v>
      </c>
      <c r="L734" s="5">
        <v>5</v>
      </c>
      <c r="M734" s="6">
        <v>1028</v>
      </c>
      <c r="N734" s="6">
        <v>5140</v>
      </c>
      <c r="O734" s="7">
        <v>0.2</v>
      </c>
      <c r="P734" s="8">
        <f t="shared" si="22"/>
        <v>1028</v>
      </c>
      <c r="Q734" s="9">
        <f t="shared" si="23"/>
        <v>4112</v>
      </c>
      <c r="R734" s="5">
        <v>82</v>
      </c>
      <c r="S734" s="5" t="s">
        <v>2033</v>
      </c>
      <c r="T734" s="5" t="s">
        <v>2035</v>
      </c>
    </row>
    <row r="735" spans="1:20" x14ac:dyDescent="0.25">
      <c r="A735" s="5" t="s">
        <v>748</v>
      </c>
      <c r="B735" s="10">
        <v>45452</v>
      </c>
      <c r="C735" s="5" t="s">
        <v>1015</v>
      </c>
      <c r="D735" s="11" t="s">
        <v>1751</v>
      </c>
      <c r="E735" s="5" t="s">
        <v>2784</v>
      </c>
      <c r="F735" s="5">
        <v>20</v>
      </c>
      <c r="G735" s="5" t="str" cm="1">
        <f t="array" ref="G735">_xlfn.IFS(F735&lt;12,"Child",F735&lt;18,"Teen",F735&lt;25,"Young",F735&lt;40,"Adult",F735&lt;60,"Middle Age",F735&gt;=60,"Old")</f>
        <v>Young</v>
      </c>
      <c r="H735" s="5" t="s">
        <v>2043</v>
      </c>
      <c r="I735" s="5" t="s">
        <v>2046</v>
      </c>
      <c r="J735" s="5" t="s">
        <v>2018</v>
      </c>
      <c r="K735" s="5" t="str">
        <f>VLOOKUP(J735,Sheet2!$A$1:$B$11,2,FALSE)</f>
        <v>Sportswear</v>
      </c>
      <c r="L735" s="5">
        <v>2</v>
      </c>
      <c r="M735" s="6">
        <v>1090</v>
      </c>
      <c r="N735" s="6">
        <v>2180</v>
      </c>
      <c r="O735" s="7">
        <v>0.05</v>
      </c>
      <c r="P735" s="8">
        <f t="shared" si="22"/>
        <v>109</v>
      </c>
      <c r="Q735" s="9">
        <f t="shared" si="23"/>
        <v>2071</v>
      </c>
      <c r="R735" s="5">
        <v>41</v>
      </c>
      <c r="S735" s="5" t="s">
        <v>2033</v>
      </c>
      <c r="T735" s="5" t="s">
        <v>2037</v>
      </c>
    </row>
    <row r="736" spans="1:20" x14ac:dyDescent="0.25">
      <c r="A736" s="5" t="s">
        <v>749</v>
      </c>
      <c r="B736" s="10">
        <v>45609</v>
      </c>
      <c r="C736" s="5" t="s">
        <v>1017</v>
      </c>
      <c r="D736" s="11" t="s">
        <v>1752</v>
      </c>
      <c r="E736" s="5" t="s">
        <v>2785</v>
      </c>
      <c r="F736" s="5">
        <v>46</v>
      </c>
      <c r="G736" s="5" t="str" cm="1">
        <f t="array" ref="G736">_xlfn.IFS(F736&lt;12,"Child",F736&lt;18,"Teen",F736&lt;25,"Young",F736&lt;40,"Adult",F736&lt;60,"Middle Age",F736&gt;=60,"Old")</f>
        <v>Middle Age</v>
      </c>
      <c r="H736" s="5" t="s">
        <v>2044</v>
      </c>
      <c r="I736" s="5" t="s">
        <v>2046</v>
      </c>
      <c r="J736" s="5" t="s">
        <v>2018</v>
      </c>
      <c r="K736" s="5" t="str">
        <f>VLOOKUP(J736,Sheet2!$A$1:$B$11,2,FALSE)</f>
        <v>Sportswear</v>
      </c>
      <c r="L736" s="5">
        <v>5</v>
      </c>
      <c r="M736" s="6">
        <v>803</v>
      </c>
      <c r="N736" s="6">
        <v>4015</v>
      </c>
      <c r="O736" s="7">
        <v>0.05</v>
      </c>
      <c r="P736" s="8">
        <f t="shared" si="22"/>
        <v>200.75</v>
      </c>
      <c r="Q736" s="9">
        <f t="shared" si="23"/>
        <v>3814.25</v>
      </c>
      <c r="R736" s="5">
        <v>76</v>
      </c>
      <c r="S736" s="5" t="s">
        <v>2032</v>
      </c>
      <c r="T736" s="5" t="s">
        <v>2035</v>
      </c>
    </row>
    <row r="737" spans="1:20" x14ac:dyDescent="0.25">
      <c r="A737" s="5" t="s">
        <v>750</v>
      </c>
      <c r="B737" s="10">
        <v>45438</v>
      </c>
      <c r="C737" s="5" t="s">
        <v>1015</v>
      </c>
      <c r="D737" s="11" t="s">
        <v>1753</v>
      </c>
      <c r="E737" s="5" t="s">
        <v>2786</v>
      </c>
      <c r="F737" s="5">
        <v>22</v>
      </c>
      <c r="G737" s="5" t="str" cm="1">
        <f t="array" ref="G737">_xlfn.IFS(F737&lt;12,"Child",F737&lt;18,"Teen",F737&lt;25,"Young",F737&lt;40,"Adult",F737&lt;60,"Middle Age",F737&gt;=60,"Old")</f>
        <v>Young</v>
      </c>
      <c r="H737" s="5" t="s">
        <v>2043</v>
      </c>
      <c r="I737" s="5" t="s">
        <v>2051</v>
      </c>
      <c r="J737" s="5" t="s">
        <v>2017</v>
      </c>
      <c r="K737" s="5" t="str">
        <f>VLOOKUP(J737,Sheet2!$A$1:$B$11,2,FALSE)</f>
        <v>Casual Wear</v>
      </c>
      <c r="L737" s="5">
        <v>5</v>
      </c>
      <c r="M737" s="6">
        <v>904</v>
      </c>
      <c r="N737" s="6">
        <v>4520</v>
      </c>
      <c r="O737" s="7">
        <v>0.15</v>
      </c>
      <c r="P737" s="8">
        <f t="shared" si="22"/>
        <v>678</v>
      </c>
      <c r="Q737" s="9">
        <f t="shared" si="23"/>
        <v>3842</v>
      </c>
      <c r="R737" s="5">
        <v>76</v>
      </c>
      <c r="S737" s="5" t="s">
        <v>2033</v>
      </c>
      <c r="T737" s="5" t="s">
        <v>2036</v>
      </c>
    </row>
    <row r="738" spans="1:20" x14ac:dyDescent="0.25">
      <c r="A738" s="5" t="s">
        <v>751</v>
      </c>
      <c r="B738" s="10">
        <v>45583</v>
      </c>
      <c r="C738" s="5" t="s">
        <v>1014</v>
      </c>
      <c r="D738" s="11" t="s">
        <v>1754</v>
      </c>
      <c r="E738" s="5" t="s">
        <v>2787</v>
      </c>
      <c r="F738" s="5">
        <v>53</v>
      </c>
      <c r="G738" s="5" t="str" cm="1">
        <f t="array" ref="G738">_xlfn.IFS(F738&lt;12,"Child",F738&lt;18,"Teen",F738&lt;25,"Young",F738&lt;40,"Adult",F738&lt;60,"Middle Age",F738&gt;=60,"Old")</f>
        <v>Middle Age</v>
      </c>
      <c r="H738" s="5" t="s">
        <v>2043</v>
      </c>
      <c r="I738" s="5" t="s">
        <v>2047</v>
      </c>
      <c r="J738" s="5" t="s">
        <v>2018</v>
      </c>
      <c r="K738" s="5" t="str">
        <f>VLOOKUP(J738,Sheet2!$A$1:$B$11,2,FALSE)</f>
        <v>Sportswear</v>
      </c>
      <c r="L738" s="5">
        <v>2</v>
      </c>
      <c r="M738" s="6">
        <v>893</v>
      </c>
      <c r="N738" s="6">
        <v>1786</v>
      </c>
      <c r="O738" s="7">
        <v>0</v>
      </c>
      <c r="P738" s="8">
        <f t="shared" si="22"/>
        <v>0</v>
      </c>
      <c r="Q738" s="9">
        <f t="shared" si="23"/>
        <v>1786</v>
      </c>
      <c r="R738" s="5">
        <v>35</v>
      </c>
      <c r="S738" s="5" t="s">
        <v>2033</v>
      </c>
      <c r="T738" s="5" t="s">
        <v>2037</v>
      </c>
    </row>
    <row r="739" spans="1:20" x14ac:dyDescent="0.25">
      <c r="A739" s="5" t="s">
        <v>752</v>
      </c>
      <c r="B739" s="10">
        <v>45682</v>
      </c>
      <c r="C739" s="5" t="s">
        <v>1020</v>
      </c>
      <c r="D739" s="11" t="s">
        <v>1755</v>
      </c>
      <c r="E739" s="5" t="s">
        <v>2788</v>
      </c>
      <c r="F739" s="5">
        <v>59</v>
      </c>
      <c r="G739" s="5" t="str" cm="1">
        <f t="array" ref="G739">_xlfn.IFS(F739&lt;12,"Child",F739&lt;18,"Teen",F739&lt;25,"Young",F739&lt;40,"Adult",F739&lt;60,"Middle Age",F739&gt;=60,"Old")</f>
        <v>Middle Age</v>
      </c>
      <c r="H739" s="5" t="s">
        <v>2044</v>
      </c>
      <c r="I739" s="5" t="s">
        <v>2053</v>
      </c>
      <c r="J739" s="5" t="s">
        <v>2019</v>
      </c>
      <c r="K739" s="5" t="str">
        <f>VLOOKUP(J739,Sheet2!$A$1:$B$11,2,FALSE)</f>
        <v>Formal Wear</v>
      </c>
      <c r="L739" s="5">
        <v>4</v>
      </c>
      <c r="M739" s="6">
        <v>784</v>
      </c>
      <c r="N739" s="6">
        <v>3136</v>
      </c>
      <c r="O739" s="7">
        <v>0.05</v>
      </c>
      <c r="P739" s="8">
        <f t="shared" si="22"/>
        <v>156.80000000000001</v>
      </c>
      <c r="Q739" s="9">
        <f t="shared" si="23"/>
        <v>2979.2</v>
      </c>
      <c r="R739" s="5">
        <v>59</v>
      </c>
      <c r="S739" s="5" t="s">
        <v>2032</v>
      </c>
      <c r="T739" s="5" t="s">
        <v>2037</v>
      </c>
    </row>
    <row r="740" spans="1:20" x14ac:dyDescent="0.25">
      <c r="A740" s="5" t="s">
        <v>753</v>
      </c>
      <c r="B740" s="10">
        <v>45432</v>
      </c>
      <c r="C740" s="5" t="s">
        <v>1016</v>
      </c>
      <c r="D740" s="11" t="s">
        <v>1756</v>
      </c>
      <c r="E740" s="5" t="s">
        <v>2789</v>
      </c>
      <c r="F740" s="5">
        <v>28</v>
      </c>
      <c r="G740" s="5" t="str" cm="1">
        <f t="array" ref="G740">_xlfn.IFS(F740&lt;12,"Child",F740&lt;18,"Teen",F740&lt;25,"Young",F740&lt;40,"Adult",F740&lt;60,"Middle Age",F740&gt;=60,"Old")</f>
        <v>Adult</v>
      </c>
      <c r="H740" s="5" t="s">
        <v>2043</v>
      </c>
      <c r="I740" s="5" t="s">
        <v>2052</v>
      </c>
      <c r="J740" s="5" t="s">
        <v>2017</v>
      </c>
      <c r="K740" s="5" t="str">
        <f>VLOOKUP(J740,Sheet2!$A$1:$B$11,2,FALSE)</f>
        <v>Casual Wear</v>
      </c>
      <c r="L740" s="5">
        <v>5</v>
      </c>
      <c r="M740" s="6">
        <v>1022</v>
      </c>
      <c r="N740" s="6">
        <v>5110</v>
      </c>
      <c r="O740" s="7">
        <v>0.05</v>
      </c>
      <c r="P740" s="8">
        <f t="shared" si="22"/>
        <v>255.5</v>
      </c>
      <c r="Q740" s="9">
        <f t="shared" si="23"/>
        <v>4854.5</v>
      </c>
      <c r="R740" s="5">
        <v>97</v>
      </c>
      <c r="S740" s="5" t="s">
        <v>2033</v>
      </c>
      <c r="T740" s="5" t="s">
        <v>2036</v>
      </c>
    </row>
    <row r="741" spans="1:20" x14ac:dyDescent="0.25">
      <c r="A741" s="5" t="s">
        <v>754</v>
      </c>
      <c r="B741" s="10">
        <v>45457</v>
      </c>
      <c r="C741" s="5" t="s">
        <v>1014</v>
      </c>
      <c r="D741" s="11" t="s">
        <v>1757</v>
      </c>
      <c r="E741" s="5" t="s">
        <v>2790</v>
      </c>
      <c r="F741" s="5">
        <v>28</v>
      </c>
      <c r="G741" s="5" t="str" cm="1">
        <f t="array" ref="G741">_xlfn.IFS(F741&lt;12,"Child",F741&lt;18,"Teen",F741&lt;25,"Young",F741&lt;40,"Adult",F741&lt;60,"Middle Age",F741&gt;=60,"Old")</f>
        <v>Adult</v>
      </c>
      <c r="H741" s="5" t="s">
        <v>2043</v>
      </c>
      <c r="I741" s="5" t="s">
        <v>2015</v>
      </c>
      <c r="J741" s="5" t="s">
        <v>2022</v>
      </c>
      <c r="K741" s="5" t="str">
        <f>VLOOKUP(J741,Sheet2!$A$1:$B$11,2,FALSE)</f>
        <v>Sportswear</v>
      </c>
      <c r="L741" s="5">
        <v>4</v>
      </c>
      <c r="M741" s="6">
        <v>345</v>
      </c>
      <c r="N741" s="6">
        <v>1380</v>
      </c>
      <c r="O741" s="7">
        <v>0</v>
      </c>
      <c r="P741" s="8">
        <f t="shared" si="22"/>
        <v>0</v>
      </c>
      <c r="Q741" s="9">
        <f t="shared" si="23"/>
        <v>1380</v>
      </c>
      <c r="R741" s="5">
        <v>27</v>
      </c>
      <c r="S741" s="5" t="s">
        <v>2033</v>
      </c>
      <c r="T741" s="5" t="s">
        <v>2036</v>
      </c>
    </row>
    <row r="742" spans="1:20" x14ac:dyDescent="0.25">
      <c r="A742" s="5" t="s">
        <v>755</v>
      </c>
      <c r="B742" s="10">
        <v>45677</v>
      </c>
      <c r="C742" s="5" t="s">
        <v>1016</v>
      </c>
      <c r="D742" s="11" t="s">
        <v>1758</v>
      </c>
      <c r="E742" s="5" t="s">
        <v>2791</v>
      </c>
      <c r="F742" s="5">
        <v>55</v>
      </c>
      <c r="G742" s="5" t="str" cm="1">
        <f t="array" ref="G742">_xlfn.IFS(F742&lt;12,"Child",F742&lt;18,"Teen",F742&lt;25,"Young",F742&lt;40,"Adult",F742&lt;60,"Middle Age",F742&gt;=60,"Old")</f>
        <v>Middle Age</v>
      </c>
      <c r="H742" s="5" t="s">
        <v>2044</v>
      </c>
      <c r="I742" s="5" t="s">
        <v>2052</v>
      </c>
      <c r="J742" s="5" t="s">
        <v>2023</v>
      </c>
      <c r="K742" s="5" t="str">
        <f>VLOOKUP(J742,Sheet2!$A$1:$B$11,2,FALSE)</f>
        <v>Formal Wear</v>
      </c>
      <c r="L742" s="5">
        <v>5</v>
      </c>
      <c r="M742" s="6">
        <v>348</v>
      </c>
      <c r="N742" s="6">
        <v>1740</v>
      </c>
      <c r="O742" s="7">
        <v>0.2</v>
      </c>
      <c r="P742" s="8">
        <f t="shared" si="22"/>
        <v>348</v>
      </c>
      <c r="Q742" s="9">
        <f t="shared" si="23"/>
        <v>1392</v>
      </c>
      <c r="R742" s="5">
        <v>27</v>
      </c>
      <c r="S742" s="5" t="s">
        <v>2032</v>
      </c>
      <c r="T742" s="5" t="s">
        <v>2037</v>
      </c>
    </row>
    <row r="743" spans="1:20" x14ac:dyDescent="0.25">
      <c r="A743" s="5" t="s">
        <v>756</v>
      </c>
      <c r="B743" s="10">
        <v>45495</v>
      </c>
      <c r="C743" s="5" t="s">
        <v>1016</v>
      </c>
      <c r="D743" s="11" t="s">
        <v>1759</v>
      </c>
      <c r="E743" s="5" t="s">
        <v>2792</v>
      </c>
      <c r="F743" s="5">
        <v>29</v>
      </c>
      <c r="G743" s="5" t="str" cm="1">
        <f t="array" ref="G743">_xlfn.IFS(F743&lt;12,"Child",F743&lt;18,"Teen",F743&lt;25,"Young",F743&lt;40,"Adult",F743&lt;60,"Middle Age",F743&gt;=60,"Old")</f>
        <v>Adult</v>
      </c>
      <c r="H743" s="5" t="s">
        <v>2043</v>
      </c>
      <c r="I743" s="5" t="s">
        <v>2053</v>
      </c>
      <c r="J743" s="5" t="s">
        <v>2025</v>
      </c>
      <c r="K743" s="5" t="str">
        <f>VLOOKUP(J743,Sheet2!$A$1:$B$11,2,FALSE)</f>
        <v>Formal Wear</v>
      </c>
      <c r="L743" s="5">
        <v>1</v>
      </c>
      <c r="M743" s="6">
        <v>355</v>
      </c>
      <c r="N743" s="6">
        <v>355</v>
      </c>
      <c r="O743" s="7">
        <v>0</v>
      </c>
      <c r="P743" s="8">
        <f t="shared" si="22"/>
        <v>0</v>
      </c>
      <c r="Q743" s="9">
        <f t="shared" si="23"/>
        <v>355</v>
      </c>
      <c r="R743" s="5">
        <v>7</v>
      </c>
      <c r="S743" s="5" t="s">
        <v>2034</v>
      </c>
      <c r="T743" s="5" t="s">
        <v>2035</v>
      </c>
    </row>
    <row r="744" spans="1:20" x14ac:dyDescent="0.25">
      <c r="A744" s="5" t="s">
        <v>757</v>
      </c>
      <c r="B744" s="10">
        <v>45707</v>
      </c>
      <c r="C744" s="5" t="s">
        <v>1017</v>
      </c>
      <c r="D744" s="11" t="s">
        <v>1760</v>
      </c>
      <c r="E744" s="5" t="s">
        <v>2793</v>
      </c>
      <c r="F744" s="5">
        <v>42</v>
      </c>
      <c r="G744" s="5" t="str" cm="1">
        <f t="array" ref="G744">_xlfn.IFS(F744&lt;12,"Child",F744&lt;18,"Teen",F744&lt;25,"Young",F744&lt;40,"Adult",F744&lt;60,"Middle Age",F744&gt;=60,"Old")</f>
        <v>Middle Age</v>
      </c>
      <c r="H744" s="5" t="s">
        <v>2043</v>
      </c>
      <c r="I744" s="5" t="s">
        <v>2051</v>
      </c>
      <c r="J744" s="5" t="s">
        <v>2018</v>
      </c>
      <c r="K744" s="5" t="str">
        <f>VLOOKUP(J744,Sheet2!$A$1:$B$11,2,FALSE)</f>
        <v>Sportswear</v>
      </c>
      <c r="L744" s="5">
        <v>1</v>
      </c>
      <c r="M744" s="6">
        <v>166</v>
      </c>
      <c r="N744" s="6">
        <v>166</v>
      </c>
      <c r="O744" s="7">
        <v>0.1</v>
      </c>
      <c r="P744" s="8">
        <f t="shared" si="22"/>
        <v>16.600000000000001</v>
      </c>
      <c r="Q744" s="9">
        <f t="shared" si="23"/>
        <v>149.4</v>
      </c>
      <c r="R744" s="5">
        <v>2</v>
      </c>
      <c r="S744" s="5" t="s">
        <v>2033</v>
      </c>
      <c r="T744" s="5" t="s">
        <v>2035</v>
      </c>
    </row>
    <row r="745" spans="1:20" x14ac:dyDescent="0.25">
      <c r="A745" s="5" t="s">
        <v>758</v>
      </c>
      <c r="B745" s="10">
        <v>45710</v>
      </c>
      <c r="C745" s="5" t="s">
        <v>1020</v>
      </c>
      <c r="D745" s="11" t="s">
        <v>1761</v>
      </c>
      <c r="E745" s="5" t="s">
        <v>2794</v>
      </c>
      <c r="F745" s="5">
        <v>19</v>
      </c>
      <c r="G745" s="5" t="str" cm="1">
        <f t="array" ref="G745">_xlfn.IFS(F745&lt;12,"Child",F745&lt;18,"Teen",F745&lt;25,"Young",F745&lt;40,"Adult",F745&lt;60,"Middle Age",F745&gt;=60,"Old")</f>
        <v>Young</v>
      </c>
      <c r="H745" s="5" t="s">
        <v>2043</v>
      </c>
      <c r="I745" s="5" t="s">
        <v>2051</v>
      </c>
      <c r="J745" s="5" t="s">
        <v>2017</v>
      </c>
      <c r="K745" s="5" t="str">
        <f>VLOOKUP(J745,Sheet2!$A$1:$B$11,2,FALSE)</f>
        <v>Casual Wear</v>
      </c>
      <c r="L745" s="5">
        <v>4</v>
      </c>
      <c r="M745" s="6">
        <v>430</v>
      </c>
      <c r="N745" s="6">
        <v>1720</v>
      </c>
      <c r="O745" s="7">
        <v>0.05</v>
      </c>
      <c r="P745" s="8">
        <f t="shared" si="22"/>
        <v>86</v>
      </c>
      <c r="Q745" s="9">
        <f t="shared" si="23"/>
        <v>1634</v>
      </c>
      <c r="R745" s="5">
        <v>32</v>
      </c>
      <c r="S745" s="5" t="s">
        <v>2033</v>
      </c>
      <c r="T745" s="5" t="s">
        <v>2036</v>
      </c>
    </row>
    <row r="746" spans="1:20" x14ac:dyDescent="0.25">
      <c r="A746" s="5" t="s">
        <v>759</v>
      </c>
      <c r="B746" s="10">
        <v>45364</v>
      </c>
      <c r="C746" s="5" t="s">
        <v>1017</v>
      </c>
      <c r="D746" s="11" t="s">
        <v>1762</v>
      </c>
      <c r="E746" s="5" t="s">
        <v>2795</v>
      </c>
      <c r="F746" s="5">
        <v>44</v>
      </c>
      <c r="G746" s="5" t="str" cm="1">
        <f t="array" ref="G746">_xlfn.IFS(F746&lt;12,"Child",F746&lt;18,"Teen",F746&lt;25,"Young",F746&lt;40,"Adult",F746&lt;60,"Middle Age",F746&gt;=60,"Old")</f>
        <v>Middle Age</v>
      </c>
      <c r="H746" s="5" t="s">
        <v>2043</v>
      </c>
      <c r="I746" s="5" t="s">
        <v>2051</v>
      </c>
      <c r="J746" s="5" t="s">
        <v>2021</v>
      </c>
      <c r="K746" s="5" t="str">
        <f>VLOOKUP(J746,Sheet2!$A$1:$B$11,2,FALSE)</f>
        <v>Casual Wear</v>
      </c>
      <c r="L746" s="5">
        <v>5</v>
      </c>
      <c r="M746" s="6">
        <v>948</v>
      </c>
      <c r="N746" s="6">
        <v>4740</v>
      </c>
      <c r="O746" s="7">
        <v>0</v>
      </c>
      <c r="P746" s="8">
        <f t="shared" si="22"/>
        <v>0</v>
      </c>
      <c r="Q746" s="9">
        <f t="shared" si="23"/>
        <v>4740</v>
      </c>
      <c r="R746" s="5">
        <v>94</v>
      </c>
      <c r="S746" s="5" t="s">
        <v>2033</v>
      </c>
      <c r="T746" s="5" t="s">
        <v>2036</v>
      </c>
    </row>
    <row r="747" spans="1:20" x14ac:dyDescent="0.25">
      <c r="A747" s="5" t="s">
        <v>760</v>
      </c>
      <c r="B747" s="10">
        <v>45440</v>
      </c>
      <c r="C747" s="5" t="s">
        <v>1019</v>
      </c>
      <c r="D747" s="11" t="s">
        <v>1763</v>
      </c>
      <c r="E747" s="5" t="s">
        <v>2796</v>
      </c>
      <c r="F747" s="5">
        <v>22</v>
      </c>
      <c r="G747" s="5" t="str" cm="1">
        <f t="array" ref="G747">_xlfn.IFS(F747&lt;12,"Child",F747&lt;18,"Teen",F747&lt;25,"Young",F747&lt;40,"Adult",F747&lt;60,"Middle Age",F747&gt;=60,"Old")</f>
        <v>Young</v>
      </c>
      <c r="H747" s="5" t="s">
        <v>2044</v>
      </c>
      <c r="I747" s="5" t="s">
        <v>2050</v>
      </c>
      <c r="J747" s="5" t="s">
        <v>2022</v>
      </c>
      <c r="K747" s="5" t="str">
        <f>VLOOKUP(J747,Sheet2!$A$1:$B$11,2,FALSE)</f>
        <v>Sportswear</v>
      </c>
      <c r="L747" s="5">
        <v>4</v>
      </c>
      <c r="M747" s="6">
        <v>389</v>
      </c>
      <c r="N747" s="6">
        <v>1556</v>
      </c>
      <c r="O747" s="7">
        <v>0.1</v>
      </c>
      <c r="P747" s="8">
        <f t="shared" si="22"/>
        <v>155.60000000000002</v>
      </c>
      <c r="Q747" s="9">
        <f t="shared" si="23"/>
        <v>1400.4</v>
      </c>
      <c r="R747" s="5">
        <v>28</v>
      </c>
      <c r="S747" s="5" t="s">
        <v>2033</v>
      </c>
      <c r="T747" s="5" t="s">
        <v>2035</v>
      </c>
    </row>
    <row r="748" spans="1:20" x14ac:dyDescent="0.25">
      <c r="A748" s="5" t="s">
        <v>761</v>
      </c>
      <c r="B748" s="10">
        <v>45621</v>
      </c>
      <c r="C748" s="5" t="s">
        <v>1016</v>
      </c>
      <c r="D748" s="11" t="s">
        <v>1764</v>
      </c>
      <c r="E748" s="5" t="s">
        <v>2797</v>
      </c>
      <c r="F748" s="5">
        <v>50</v>
      </c>
      <c r="G748" s="5" t="str" cm="1">
        <f t="array" ref="G748">_xlfn.IFS(F748&lt;12,"Child",F748&lt;18,"Teen",F748&lt;25,"Young",F748&lt;40,"Adult",F748&lt;60,"Middle Age",F748&gt;=60,"Old")</f>
        <v>Middle Age</v>
      </c>
      <c r="H748" s="5" t="s">
        <v>2044</v>
      </c>
      <c r="I748" s="5" t="s">
        <v>2047</v>
      </c>
      <c r="J748" s="5" t="s">
        <v>2016</v>
      </c>
      <c r="K748" s="5" t="str">
        <f>VLOOKUP(J748,Sheet2!$A$1:$B$11,2,FALSE)</f>
        <v>Winter Wear</v>
      </c>
      <c r="L748" s="5">
        <v>1</v>
      </c>
      <c r="M748" s="6">
        <v>172</v>
      </c>
      <c r="N748" s="6">
        <v>172</v>
      </c>
      <c r="O748" s="7">
        <v>0.1</v>
      </c>
      <c r="P748" s="8">
        <f t="shared" si="22"/>
        <v>17.2</v>
      </c>
      <c r="Q748" s="9">
        <f t="shared" si="23"/>
        <v>154.80000000000001</v>
      </c>
      <c r="R748" s="5">
        <v>3</v>
      </c>
      <c r="S748" s="5" t="s">
        <v>2032</v>
      </c>
      <c r="T748" s="5" t="s">
        <v>2036</v>
      </c>
    </row>
    <row r="749" spans="1:20" x14ac:dyDescent="0.25">
      <c r="A749" s="5" t="s">
        <v>762</v>
      </c>
      <c r="B749" s="10">
        <v>45488</v>
      </c>
      <c r="C749" s="5" t="s">
        <v>1016</v>
      </c>
      <c r="D749" s="11" t="s">
        <v>1765</v>
      </c>
      <c r="E749" s="5" t="s">
        <v>2798</v>
      </c>
      <c r="F749" s="5">
        <v>57</v>
      </c>
      <c r="G749" s="5" t="str" cm="1">
        <f t="array" ref="G749">_xlfn.IFS(F749&lt;12,"Child",F749&lt;18,"Teen",F749&lt;25,"Young",F749&lt;40,"Adult",F749&lt;60,"Middle Age",F749&gt;=60,"Old")</f>
        <v>Middle Age</v>
      </c>
      <c r="H749" s="5" t="s">
        <v>2043</v>
      </c>
      <c r="I749" s="5" t="s">
        <v>2046</v>
      </c>
      <c r="J749" s="5" t="s">
        <v>2023</v>
      </c>
      <c r="K749" s="5" t="str">
        <f>VLOOKUP(J749,Sheet2!$A$1:$B$11,2,FALSE)</f>
        <v>Formal Wear</v>
      </c>
      <c r="L749" s="5">
        <v>4</v>
      </c>
      <c r="M749" s="6">
        <v>655</v>
      </c>
      <c r="N749" s="6">
        <v>2620</v>
      </c>
      <c r="O749" s="7">
        <v>0</v>
      </c>
      <c r="P749" s="8">
        <f t="shared" si="22"/>
        <v>0</v>
      </c>
      <c r="Q749" s="9">
        <f t="shared" si="23"/>
        <v>2620</v>
      </c>
      <c r="R749" s="5">
        <v>52</v>
      </c>
      <c r="S749" s="5" t="s">
        <v>2033</v>
      </c>
      <c r="T749" s="5" t="s">
        <v>2036</v>
      </c>
    </row>
    <row r="750" spans="1:20" x14ac:dyDescent="0.25">
      <c r="A750" s="5" t="s">
        <v>763</v>
      </c>
      <c r="B750" s="10">
        <v>45497</v>
      </c>
      <c r="C750" s="5" t="s">
        <v>1017</v>
      </c>
      <c r="D750" s="11" t="s">
        <v>1766</v>
      </c>
      <c r="E750" s="5" t="s">
        <v>2799</v>
      </c>
      <c r="F750" s="5">
        <v>37</v>
      </c>
      <c r="G750" s="5" t="str" cm="1">
        <f t="array" ref="G750">_xlfn.IFS(F750&lt;12,"Child",F750&lt;18,"Teen",F750&lt;25,"Young",F750&lt;40,"Adult",F750&lt;60,"Middle Age",F750&gt;=60,"Old")</f>
        <v>Adult</v>
      </c>
      <c r="H750" s="5" t="s">
        <v>2043</v>
      </c>
      <c r="I750" s="5" t="s">
        <v>2052</v>
      </c>
      <c r="J750" s="5" t="s">
        <v>2023</v>
      </c>
      <c r="K750" s="5" t="str">
        <f>VLOOKUP(J750,Sheet2!$A$1:$B$11,2,FALSE)</f>
        <v>Formal Wear</v>
      </c>
      <c r="L750" s="5">
        <v>4</v>
      </c>
      <c r="M750" s="6">
        <v>675</v>
      </c>
      <c r="N750" s="6">
        <v>2700</v>
      </c>
      <c r="O750" s="7">
        <v>0.15</v>
      </c>
      <c r="P750" s="8">
        <f t="shared" si="22"/>
        <v>405</v>
      </c>
      <c r="Q750" s="9">
        <f t="shared" si="23"/>
        <v>2295</v>
      </c>
      <c r="R750" s="5">
        <v>45</v>
      </c>
      <c r="S750" s="5" t="s">
        <v>2032</v>
      </c>
      <c r="T750" s="5" t="s">
        <v>2036</v>
      </c>
    </row>
    <row r="751" spans="1:20" x14ac:dyDescent="0.25">
      <c r="A751" s="5" t="s">
        <v>764</v>
      </c>
      <c r="B751" s="10">
        <v>45716</v>
      </c>
      <c r="C751" s="5" t="s">
        <v>1014</v>
      </c>
      <c r="D751" s="11" t="s">
        <v>1767</v>
      </c>
      <c r="E751" s="5" t="s">
        <v>2800</v>
      </c>
      <c r="F751" s="5">
        <v>38</v>
      </c>
      <c r="G751" s="5" t="str" cm="1">
        <f t="array" ref="G751">_xlfn.IFS(F751&lt;12,"Child",F751&lt;18,"Teen",F751&lt;25,"Young",F751&lt;40,"Adult",F751&lt;60,"Middle Age",F751&gt;=60,"Old")</f>
        <v>Adult</v>
      </c>
      <c r="H751" s="5" t="s">
        <v>2044</v>
      </c>
      <c r="I751" s="5" t="s">
        <v>2046</v>
      </c>
      <c r="J751" s="5" t="s">
        <v>2021</v>
      </c>
      <c r="K751" s="5" t="str">
        <f>VLOOKUP(J751,Sheet2!$A$1:$B$11,2,FALSE)</f>
        <v>Casual Wear</v>
      </c>
      <c r="L751" s="5">
        <v>1</v>
      </c>
      <c r="M751" s="6">
        <v>575</v>
      </c>
      <c r="N751" s="6">
        <v>575</v>
      </c>
      <c r="O751" s="7">
        <v>0.1</v>
      </c>
      <c r="P751" s="8">
        <f t="shared" si="22"/>
        <v>57.5</v>
      </c>
      <c r="Q751" s="9">
        <f t="shared" si="23"/>
        <v>517.5</v>
      </c>
      <c r="R751" s="5">
        <v>10</v>
      </c>
      <c r="S751" s="5" t="s">
        <v>2033</v>
      </c>
      <c r="T751" s="5" t="s">
        <v>2035</v>
      </c>
    </row>
    <row r="752" spans="1:20" x14ac:dyDescent="0.25">
      <c r="A752" s="5" t="s">
        <v>765</v>
      </c>
      <c r="B752" s="10">
        <v>45564</v>
      </c>
      <c r="C752" s="5" t="s">
        <v>1015</v>
      </c>
      <c r="D752" s="11" t="s">
        <v>1768</v>
      </c>
      <c r="E752" s="5" t="s">
        <v>2801</v>
      </c>
      <c r="F752" s="5">
        <v>35</v>
      </c>
      <c r="G752" s="5" t="str" cm="1">
        <f t="array" ref="G752">_xlfn.IFS(F752&lt;12,"Child",F752&lt;18,"Teen",F752&lt;25,"Young",F752&lt;40,"Adult",F752&lt;60,"Middle Age",F752&gt;=60,"Old")</f>
        <v>Adult</v>
      </c>
      <c r="H752" s="5" t="s">
        <v>2043</v>
      </c>
      <c r="I752" s="5" t="s">
        <v>2052</v>
      </c>
      <c r="J752" s="5" t="s">
        <v>2020</v>
      </c>
      <c r="K752" s="5" t="str">
        <f>VLOOKUP(J752,Sheet2!$A$1:$B$11,2,FALSE)</f>
        <v>Summer Wear</v>
      </c>
      <c r="L752" s="5">
        <v>4</v>
      </c>
      <c r="M752" s="6">
        <v>1130</v>
      </c>
      <c r="N752" s="6">
        <v>4520</v>
      </c>
      <c r="O752" s="7">
        <v>0.2</v>
      </c>
      <c r="P752" s="8">
        <f t="shared" si="22"/>
        <v>904</v>
      </c>
      <c r="Q752" s="9">
        <f t="shared" si="23"/>
        <v>3616</v>
      </c>
      <c r="R752" s="5">
        <v>72</v>
      </c>
      <c r="S752" s="5" t="s">
        <v>2034</v>
      </c>
      <c r="T752" s="5" t="s">
        <v>2035</v>
      </c>
    </row>
    <row r="753" spans="1:20" x14ac:dyDescent="0.25">
      <c r="A753" s="5" t="s">
        <v>766</v>
      </c>
      <c r="B753" s="10">
        <v>45412</v>
      </c>
      <c r="C753" s="5" t="s">
        <v>1019</v>
      </c>
      <c r="D753" s="11" t="s">
        <v>1769</v>
      </c>
      <c r="E753" s="5" t="s">
        <v>2802</v>
      </c>
      <c r="F753" s="5">
        <v>26</v>
      </c>
      <c r="G753" s="5" t="str" cm="1">
        <f t="array" ref="G753">_xlfn.IFS(F753&lt;12,"Child",F753&lt;18,"Teen",F753&lt;25,"Young",F753&lt;40,"Adult",F753&lt;60,"Middle Age",F753&gt;=60,"Old")</f>
        <v>Adult</v>
      </c>
      <c r="H753" s="5" t="s">
        <v>2043</v>
      </c>
      <c r="I753" s="5" t="s">
        <v>2045</v>
      </c>
      <c r="J753" s="5" t="s">
        <v>2020</v>
      </c>
      <c r="K753" s="5" t="str">
        <f>VLOOKUP(J753,Sheet2!$A$1:$B$11,2,FALSE)</f>
        <v>Summer Wear</v>
      </c>
      <c r="L753" s="5">
        <v>3</v>
      </c>
      <c r="M753" s="6">
        <v>891</v>
      </c>
      <c r="N753" s="6">
        <v>2673</v>
      </c>
      <c r="O753" s="7">
        <v>0</v>
      </c>
      <c r="P753" s="8">
        <f t="shared" si="22"/>
        <v>0</v>
      </c>
      <c r="Q753" s="9">
        <f t="shared" si="23"/>
        <v>2673</v>
      </c>
      <c r="R753" s="5">
        <v>53</v>
      </c>
      <c r="S753" s="5" t="s">
        <v>2033</v>
      </c>
      <c r="T753" s="5" t="s">
        <v>2036</v>
      </c>
    </row>
    <row r="754" spans="1:20" x14ac:dyDescent="0.25">
      <c r="A754" s="5" t="s">
        <v>767</v>
      </c>
      <c r="B754" s="10">
        <v>45390</v>
      </c>
      <c r="C754" s="5" t="s">
        <v>1016</v>
      </c>
      <c r="D754" s="11" t="s">
        <v>1770</v>
      </c>
      <c r="E754" s="5" t="s">
        <v>2803</v>
      </c>
      <c r="F754" s="5">
        <v>36</v>
      </c>
      <c r="G754" s="5" t="str" cm="1">
        <f t="array" ref="G754">_xlfn.IFS(F754&lt;12,"Child",F754&lt;18,"Teen",F754&lt;25,"Young",F754&lt;40,"Adult",F754&lt;60,"Middle Age",F754&gt;=60,"Old")</f>
        <v>Adult</v>
      </c>
      <c r="H754" s="5" t="s">
        <v>2044</v>
      </c>
      <c r="I754" s="5" t="s">
        <v>2045</v>
      </c>
      <c r="J754" s="5" t="s">
        <v>2023</v>
      </c>
      <c r="K754" s="5" t="str">
        <f>VLOOKUP(J754,Sheet2!$A$1:$B$11,2,FALSE)</f>
        <v>Formal Wear</v>
      </c>
      <c r="L754" s="5">
        <v>3</v>
      </c>
      <c r="M754" s="6">
        <v>564</v>
      </c>
      <c r="N754" s="6">
        <v>1692</v>
      </c>
      <c r="O754" s="7">
        <v>0</v>
      </c>
      <c r="P754" s="8">
        <f t="shared" si="22"/>
        <v>0</v>
      </c>
      <c r="Q754" s="9">
        <f t="shared" si="23"/>
        <v>1692</v>
      </c>
      <c r="R754" s="5">
        <v>33</v>
      </c>
      <c r="S754" s="5" t="s">
        <v>2034</v>
      </c>
      <c r="T754" s="5" t="s">
        <v>2037</v>
      </c>
    </row>
    <row r="755" spans="1:20" x14ac:dyDescent="0.25">
      <c r="A755" s="5" t="s">
        <v>768</v>
      </c>
      <c r="B755" s="10">
        <v>45562</v>
      </c>
      <c r="C755" s="5" t="s">
        <v>1014</v>
      </c>
      <c r="D755" s="11" t="s">
        <v>1771</v>
      </c>
      <c r="E755" s="5" t="s">
        <v>2804</v>
      </c>
      <c r="F755" s="5">
        <v>19</v>
      </c>
      <c r="G755" s="5" t="str" cm="1">
        <f t="array" ref="G755">_xlfn.IFS(F755&lt;12,"Child",F755&lt;18,"Teen",F755&lt;25,"Young",F755&lt;40,"Adult",F755&lt;60,"Middle Age",F755&gt;=60,"Old")</f>
        <v>Young</v>
      </c>
      <c r="H755" s="5" t="s">
        <v>2044</v>
      </c>
      <c r="I755" s="5" t="s">
        <v>2049</v>
      </c>
      <c r="J755" s="5" t="s">
        <v>2019</v>
      </c>
      <c r="K755" s="5" t="str">
        <f>VLOOKUP(J755,Sheet2!$A$1:$B$11,2,FALSE)</f>
        <v>Formal Wear</v>
      </c>
      <c r="L755" s="5">
        <v>4</v>
      </c>
      <c r="M755" s="6">
        <v>223</v>
      </c>
      <c r="N755" s="6">
        <v>892</v>
      </c>
      <c r="O755" s="7">
        <v>0.1</v>
      </c>
      <c r="P755" s="8">
        <f t="shared" si="22"/>
        <v>89.2</v>
      </c>
      <c r="Q755" s="9">
        <f t="shared" si="23"/>
        <v>802.8</v>
      </c>
      <c r="R755" s="5">
        <v>16</v>
      </c>
      <c r="S755" s="5" t="s">
        <v>2032</v>
      </c>
      <c r="T755" s="5" t="s">
        <v>2036</v>
      </c>
    </row>
    <row r="756" spans="1:20" x14ac:dyDescent="0.25">
      <c r="A756" s="5" t="s">
        <v>769</v>
      </c>
      <c r="B756" s="10">
        <v>45377</v>
      </c>
      <c r="C756" s="5" t="s">
        <v>1019</v>
      </c>
      <c r="D756" s="11" t="s">
        <v>1772</v>
      </c>
      <c r="E756" s="5" t="s">
        <v>2805</v>
      </c>
      <c r="F756" s="5">
        <v>35</v>
      </c>
      <c r="G756" s="5" t="str" cm="1">
        <f t="array" ref="G756">_xlfn.IFS(F756&lt;12,"Child",F756&lt;18,"Teen",F756&lt;25,"Young",F756&lt;40,"Adult",F756&lt;60,"Middle Age",F756&gt;=60,"Old")</f>
        <v>Adult</v>
      </c>
      <c r="H756" s="5" t="s">
        <v>2044</v>
      </c>
      <c r="I756" s="5" t="s">
        <v>2047</v>
      </c>
      <c r="J756" s="5" t="s">
        <v>2019</v>
      </c>
      <c r="K756" s="5" t="str">
        <f>VLOOKUP(J756,Sheet2!$A$1:$B$11,2,FALSE)</f>
        <v>Formal Wear</v>
      </c>
      <c r="L756" s="5">
        <v>5</v>
      </c>
      <c r="M756" s="6">
        <v>907</v>
      </c>
      <c r="N756" s="6">
        <v>4535</v>
      </c>
      <c r="O756" s="7">
        <v>0</v>
      </c>
      <c r="P756" s="8">
        <f t="shared" si="22"/>
        <v>0</v>
      </c>
      <c r="Q756" s="9">
        <f t="shared" si="23"/>
        <v>4535</v>
      </c>
      <c r="R756" s="5">
        <v>90</v>
      </c>
      <c r="S756" s="5" t="s">
        <v>2033</v>
      </c>
      <c r="T756" s="5" t="s">
        <v>2035</v>
      </c>
    </row>
    <row r="757" spans="1:20" x14ac:dyDescent="0.25">
      <c r="A757" s="5" t="s">
        <v>770</v>
      </c>
      <c r="B757" s="10">
        <v>45378</v>
      </c>
      <c r="C757" s="5" t="s">
        <v>1017</v>
      </c>
      <c r="D757" s="11" t="s">
        <v>1773</v>
      </c>
      <c r="E757" s="5" t="s">
        <v>2806</v>
      </c>
      <c r="F757" s="5">
        <v>20</v>
      </c>
      <c r="G757" s="5" t="str" cm="1">
        <f t="array" ref="G757">_xlfn.IFS(F757&lt;12,"Child",F757&lt;18,"Teen",F757&lt;25,"Young",F757&lt;40,"Adult",F757&lt;60,"Middle Age",F757&gt;=60,"Old")</f>
        <v>Young</v>
      </c>
      <c r="H757" s="5" t="s">
        <v>2043</v>
      </c>
      <c r="I757" s="5" t="s">
        <v>2046</v>
      </c>
      <c r="J757" s="5" t="s">
        <v>2024</v>
      </c>
      <c r="K757" s="5" t="str">
        <f>VLOOKUP(J757,Sheet2!$A$1:$B$11,2,FALSE)</f>
        <v>Fashion Accessories</v>
      </c>
      <c r="L757" s="5">
        <v>3</v>
      </c>
      <c r="M757" s="6">
        <v>462</v>
      </c>
      <c r="N757" s="6">
        <v>1386</v>
      </c>
      <c r="O757" s="7">
        <v>0.15</v>
      </c>
      <c r="P757" s="8">
        <f t="shared" si="22"/>
        <v>207.9</v>
      </c>
      <c r="Q757" s="9">
        <f t="shared" si="23"/>
        <v>1178.0999999999999</v>
      </c>
      <c r="R757" s="5">
        <v>23</v>
      </c>
      <c r="S757" s="5" t="s">
        <v>2034</v>
      </c>
      <c r="T757" s="5" t="s">
        <v>2035</v>
      </c>
    </row>
    <row r="758" spans="1:20" x14ac:dyDescent="0.25">
      <c r="A758" s="5" t="s">
        <v>771</v>
      </c>
      <c r="B758" s="10">
        <v>45366</v>
      </c>
      <c r="C758" s="5" t="s">
        <v>1014</v>
      </c>
      <c r="D758" s="11" t="s">
        <v>1774</v>
      </c>
      <c r="E758" s="5" t="s">
        <v>2807</v>
      </c>
      <c r="F758" s="5">
        <v>32</v>
      </c>
      <c r="G758" s="5" t="str" cm="1">
        <f t="array" ref="G758">_xlfn.IFS(F758&lt;12,"Child",F758&lt;18,"Teen",F758&lt;25,"Young",F758&lt;40,"Adult",F758&lt;60,"Middle Age",F758&gt;=60,"Old")</f>
        <v>Adult</v>
      </c>
      <c r="H758" s="5" t="s">
        <v>2043</v>
      </c>
      <c r="I758" s="5" t="s">
        <v>2050</v>
      </c>
      <c r="J758" s="5" t="s">
        <v>2016</v>
      </c>
      <c r="K758" s="5" t="str">
        <f>VLOOKUP(J758,Sheet2!$A$1:$B$11,2,FALSE)</f>
        <v>Winter Wear</v>
      </c>
      <c r="L758" s="5">
        <v>5</v>
      </c>
      <c r="M758" s="6">
        <v>989</v>
      </c>
      <c r="N758" s="6">
        <v>4945</v>
      </c>
      <c r="O758" s="7">
        <v>0.2</v>
      </c>
      <c r="P758" s="8">
        <f t="shared" si="22"/>
        <v>989</v>
      </c>
      <c r="Q758" s="9">
        <f t="shared" si="23"/>
        <v>3956</v>
      </c>
      <c r="R758" s="5">
        <v>79</v>
      </c>
      <c r="S758" s="5" t="s">
        <v>2032</v>
      </c>
      <c r="T758" s="5" t="s">
        <v>2036</v>
      </c>
    </row>
    <row r="759" spans="1:20" x14ac:dyDescent="0.25">
      <c r="A759" s="5" t="s">
        <v>772</v>
      </c>
      <c r="B759" s="10">
        <v>45380</v>
      </c>
      <c r="C759" s="5" t="s">
        <v>1014</v>
      </c>
      <c r="D759" s="11" t="s">
        <v>1775</v>
      </c>
      <c r="E759" s="5" t="s">
        <v>2808</v>
      </c>
      <c r="F759" s="5">
        <v>57</v>
      </c>
      <c r="G759" s="5" t="str" cm="1">
        <f t="array" ref="G759">_xlfn.IFS(F759&lt;12,"Child",F759&lt;18,"Teen",F759&lt;25,"Young",F759&lt;40,"Adult",F759&lt;60,"Middle Age",F759&gt;=60,"Old")</f>
        <v>Middle Age</v>
      </c>
      <c r="H759" s="5" t="s">
        <v>2043</v>
      </c>
      <c r="I759" s="5" t="s">
        <v>2048</v>
      </c>
      <c r="J759" s="5" t="s">
        <v>2025</v>
      </c>
      <c r="K759" s="5" t="str">
        <f>VLOOKUP(J759,Sheet2!$A$1:$B$11,2,FALSE)</f>
        <v>Formal Wear</v>
      </c>
      <c r="L759" s="5">
        <v>3</v>
      </c>
      <c r="M759" s="6">
        <v>916</v>
      </c>
      <c r="N759" s="6">
        <v>2748</v>
      </c>
      <c r="O759" s="7">
        <v>0.2</v>
      </c>
      <c r="P759" s="8">
        <f t="shared" si="22"/>
        <v>549.6</v>
      </c>
      <c r="Q759" s="9">
        <f t="shared" si="23"/>
        <v>2198.4</v>
      </c>
      <c r="R759" s="5">
        <v>43</v>
      </c>
      <c r="S759" s="5" t="s">
        <v>2033</v>
      </c>
      <c r="T759" s="5" t="s">
        <v>2037</v>
      </c>
    </row>
    <row r="760" spans="1:20" x14ac:dyDescent="0.25">
      <c r="A760" s="5" t="s">
        <v>773</v>
      </c>
      <c r="B760" s="10">
        <v>45465</v>
      </c>
      <c r="C760" s="5" t="s">
        <v>1020</v>
      </c>
      <c r="D760" s="11" t="s">
        <v>1776</v>
      </c>
      <c r="E760" s="5" t="s">
        <v>2809</v>
      </c>
      <c r="F760" s="5">
        <v>38</v>
      </c>
      <c r="G760" s="5" t="str" cm="1">
        <f t="array" ref="G760">_xlfn.IFS(F760&lt;12,"Child",F760&lt;18,"Teen",F760&lt;25,"Young",F760&lt;40,"Adult",F760&lt;60,"Middle Age",F760&gt;=60,"Old")</f>
        <v>Adult</v>
      </c>
      <c r="H760" s="5" t="s">
        <v>2044</v>
      </c>
      <c r="I760" s="5" t="s">
        <v>2049</v>
      </c>
      <c r="J760" s="5" t="s">
        <v>2023</v>
      </c>
      <c r="K760" s="5" t="str">
        <f>VLOOKUP(J760,Sheet2!$A$1:$B$11,2,FALSE)</f>
        <v>Formal Wear</v>
      </c>
      <c r="L760" s="5">
        <v>3</v>
      </c>
      <c r="M760" s="6">
        <v>1038</v>
      </c>
      <c r="N760" s="6">
        <v>3114</v>
      </c>
      <c r="O760" s="7">
        <v>0.2</v>
      </c>
      <c r="P760" s="8">
        <f t="shared" si="22"/>
        <v>622.80000000000007</v>
      </c>
      <c r="Q760" s="9">
        <f t="shared" si="23"/>
        <v>2491.1999999999998</v>
      </c>
      <c r="R760" s="5">
        <v>49</v>
      </c>
      <c r="S760" s="5" t="s">
        <v>2034</v>
      </c>
      <c r="T760" s="5" t="s">
        <v>2037</v>
      </c>
    </row>
    <row r="761" spans="1:20" x14ac:dyDescent="0.25">
      <c r="A761" s="5" t="s">
        <v>774</v>
      </c>
      <c r="B761" s="10">
        <v>45433</v>
      </c>
      <c r="C761" s="5" t="s">
        <v>1019</v>
      </c>
      <c r="D761" s="11" t="s">
        <v>1777</v>
      </c>
      <c r="E761" s="5" t="s">
        <v>2810</v>
      </c>
      <c r="F761" s="5">
        <v>59</v>
      </c>
      <c r="G761" s="5" t="str" cm="1">
        <f t="array" ref="G761">_xlfn.IFS(F761&lt;12,"Child",F761&lt;18,"Teen",F761&lt;25,"Young",F761&lt;40,"Adult",F761&lt;60,"Middle Age",F761&gt;=60,"Old")</f>
        <v>Middle Age</v>
      </c>
      <c r="H761" s="5" t="s">
        <v>2043</v>
      </c>
      <c r="I761" s="5" t="s">
        <v>2047</v>
      </c>
      <c r="J761" s="5" t="s">
        <v>2016</v>
      </c>
      <c r="K761" s="5" t="str">
        <f>VLOOKUP(J761,Sheet2!$A$1:$B$11,2,FALSE)</f>
        <v>Winter Wear</v>
      </c>
      <c r="L761" s="5">
        <v>4</v>
      </c>
      <c r="M761" s="6">
        <v>628</v>
      </c>
      <c r="N761" s="6">
        <v>2512</v>
      </c>
      <c r="O761" s="7">
        <v>0</v>
      </c>
      <c r="P761" s="8">
        <f t="shared" si="22"/>
        <v>0</v>
      </c>
      <c r="Q761" s="9">
        <f t="shared" si="23"/>
        <v>2512</v>
      </c>
      <c r="R761" s="5">
        <v>50</v>
      </c>
      <c r="S761" s="5" t="s">
        <v>2032</v>
      </c>
      <c r="T761" s="5" t="s">
        <v>2035</v>
      </c>
    </row>
    <row r="762" spans="1:20" x14ac:dyDescent="0.25">
      <c r="A762" s="5" t="s">
        <v>775</v>
      </c>
      <c r="B762" s="10">
        <v>45540</v>
      </c>
      <c r="C762" s="5" t="s">
        <v>1018</v>
      </c>
      <c r="D762" s="11" t="s">
        <v>1778</v>
      </c>
      <c r="E762" s="5" t="s">
        <v>2811</v>
      </c>
      <c r="F762" s="5">
        <v>60</v>
      </c>
      <c r="G762" s="5" t="str" cm="1">
        <f t="array" ref="G762">_xlfn.IFS(F762&lt;12,"Child",F762&lt;18,"Teen",F762&lt;25,"Young",F762&lt;40,"Adult",F762&lt;60,"Middle Age",F762&gt;=60,"Old")</f>
        <v>Old</v>
      </c>
      <c r="H762" s="5" t="s">
        <v>2044</v>
      </c>
      <c r="I762" s="5" t="s">
        <v>2046</v>
      </c>
      <c r="J762" s="5" t="s">
        <v>2019</v>
      </c>
      <c r="K762" s="5" t="str">
        <f>VLOOKUP(J762,Sheet2!$A$1:$B$11,2,FALSE)</f>
        <v>Formal Wear</v>
      </c>
      <c r="L762" s="5">
        <v>2</v>
      </c>
      <c r="M762" s="6">
        <v>171</v>
      </c>
      <c r="N762" s="6">
        <v>342</v>
      </c>
      <c r="O762" s="7">
        <v>0.1</v>
      </c>
      <c r="P762" s="8">
        <f t="shared" si="22"/>
        <v>34.200000000000003</v>
      </c>
      <c r="Q762" s="9">
        <f t="shared" si="23"/>
        <v>307.8</v>
      </c>
      <c r="R762" s="5">
        <v>6</v>
      </c>
      <c r="S762" s="5" t="s">
        <v>2033</v>
      </c>
      <c r="T762" s="5" t="s">
        <v>2035</v>
      </c>
    </row>
    <row r="763" spans="1:20" x14ac:dyDescent="0.25">
      <c r="A763" s="5" t="s">
        <v>776</v>
      </c>
      <c r="B763" s="10">
        <v>45544</v>
      </c>
      <c r="C763" s="5" t="s">
        <v>1016</v>
      </c>
      <c r="D763" s="11" t="s">
        <v>1779</v>
      </c>
      <c r="E763" s="5" t="s">
        <v>2812</v>
      </c>
      <c r="F763" s="5">
        <v>37</v>
      </c>
      <c r="G763" s="5" t="str" cm="1">
        <f t="array" ref="G763">_xlfn.IFS(F763&lt;12,"Child",F763&lt;18,"Teen",F763&lt;25,"Young",F763&lt;40,"Adult",F763&lt;60,"Middle Age",F763&gt;=60,"Old")</f>
        <v>Adult</v>
      </c>
      <c r="H763" s="5" t="s">
        <v>2044</v>
      </c>
      <c r="I763" s="5" t="s">
        <v>2053</v>
      </c>
      <c r="J763" s="5" t="s">
        <v>2025</v>
      </c>
      <c r="K763" s="5" t="str">
        <f>VLOOKUP(J763,Sheet2!$A$1:$B$11,2,FALSE)</f>
        <v>Formal Wear</v>
      </c>
      <c r="L763" s="5">
        <v>5</v>
      </c>
      <c r="M763" s="6">
        <v>528</v>
      </c>
      <c r="N763" s="6">
        <v>2640</v>
      </c>
      <c r="O763" s="7">
        <v>0</v>
      </c>
      <c r="P763" s="8">
        <f t="shared" si="22"/>
        <v>0</v>
      </c>
      <c r="Q763" s="9">
        <f t="shared" si="23"/>
        <v>2640</v>
      </c>
      <c r="R763" s="5">
        <v>52</v>
      </c>
      <c r="S763" s="5" t="s">
        <v>2033</v>
      </c>
      <c r="T763" s="5" t="s">
        <v>2037</v>
      </c>
    </row>
    <row r="764" spans="1:20" x14ac:dyDescent="0.25">
      <c r="A764" s="5" t="s">
        <v>777</v>
      </c>
      <c r="B764" s="10">
        <v>45528</v>
      </c>
      <c r="C764" s="5" t="s">
        <v>1020</v>
      </c>
      <c r="D764" s="11" t="s">
        <v>1780</v>
      </c>
      <c r="E764" s="5" t="s">
        <v>2813</v>
      </c>
      <c r="F764" s="5">
        <v>34</v>
      </c>
      <c r="G764" s="5" t="str" cm="1">
        <f t="array" ref="G764">_xlfn.IFS(F764&lt;12,"Child",F764&lt;18,"Teen",F764&lt;25,"Young",F764&lt;40,"Adult",F764&lt;60,"Middle Age",F764&gt;=60,"Old")</f>
        <v>Adult</v>
      </c>
      <c r="H764" s="5" t="s">
        <v>2044</v>
      </c>
      <c r="I764" s="5" t="s">
        <v>2052</v>
      </c>
      <c r="J764" s="5" t="s">
        <v>2021</v>
      </c>
      <c r="K764" s="5" t="str">
        <f>VLOOKUP(J764,Sheet2!$A$1:$B$11,2,FALSE)</f>
        <v>Casual Wear</v>
      </c>
      <c r="L764" s="5">
        <v>5</v>
      </c>
      <c r="M764" s="6">
        <v>1020</v>
      </c>
      <c r="N764" s="6">
        <v>5100</v>
      </c>
      <c r="O764" s="7">
        <v>0.15</v>
      </c>
      <c r="P764" s="8">
        <f t="shared" si="22"/>
        <v>765</v>
      </c>
      <c r="Q764" s="9">
        <f t="shared" si="23"/>
        <v>4335</v>
      </c>
      <c r="R764" s="5">
        <v>86</v>
      </c>
      <c r="S764" s="5" t="s">
        <v>2034</v>
      </c>
      <c r="T764" s="5" t="s">
        <v>2036</v>
      </c>
    </row>
    <row r="765" spans="1:20" x14ac:dyDescent="0.25">
      <c r="A765" s="5" t="s">
        <v>778</v>
      </c>
      <c r="B765" s="10">
        <v>45420</v>
      </c>
      <c r="C765" s="5" t="s">
        <v>1017</v>
      </c>
      <c r="D765" s="11" t="s">
        <v>1781</v>
      </c>
      <c r="E765" s="5" t="s">
        <v>2814</v>
      </c>
      <c r="F765" s="5">
        <v>18</v>
      </c>
      <c r="G765" s="5" t="str" cm="1">
        <f t="array" ref="G765">_xlfn.IFS(F765&lt;12,"Child",F765&lt;18,"Teen",F765&lt;25,"Young",F765&lt;40,"Adult",F765&lt;60,"Middle Age",F765&gt;=60,"Old")</f>
        <v>Young</v>
      </c>
      <c r="H765" s="5" t="s">
        <v>2043</v>
      </c>
      <c r="I765" s="5" t="s">
        <v>2053</v>
      </c>
      <c r="J765" s="5" t="s">
        <v>2021</v>
      </c>
      <c r="K765" s="5" t="str">
        <f>VLOOKUP(J765,Sheet2!$A$1:$B$11,2,FALSE)</f>
        <v>Casual Wear</v>
      </c>
      <c r="L765" s="5">
        <v>2</v>
      </c>
      <c r="M765" s="6">
        <v>1148</v>
      </c>
      <c r="N765" s="6">
        <v>2296</v>
      </c>
      <c r="O765" s="7">
        <v>0</v>
      </c>
      <c r="P765" s="8">
        <f t="shared" si="22"/>
        <v>0</v>
      </c>
      <c r="Q765" s="9">
        <f t="shared" si="23"/>
        <v>2296</v>
      </c>
      <c r="R765" s="5">
        <v>45</v>
      </c>
      <c r="S765" s="5" t="s">
        <v>2033</v>
      </c>
      <c r="T765" s="5" t="s">
        <v>2035</v>
      </c>
    </row>
    <row r="766" spans="1:20" x14ac:dyDescent="0.25">
      <c r="A766" s="5" t="s">
        <v>779</v>
      </c>
      <c r="B766" s="10">
        <v>45429</v>
      </c>
      <c r="C766" s="5" t="s">
        <v>1014</v>
      </c>
      <c r="D766" s="11" t="s">
        <v>1782</v>
      </c>
      <c r="E766" s="5" t="s">
        <v>2815</v>
      </c>
      <c r="F766" s="5">
        <v>35</v>
      </c>
      <c r="G766" s="5" t="str" cm="1">
        <f t="array" ref="G766">_xlfn.IFS(F766&lt;12,"Child",F766&lt;18,"Teen",F766&lt;25,"Young",F766&lt;40,"Adult",F766&lt;60,"Middle Age",F766&gt;=60,"Old")</f>
        <v>Adult</v>
      </c>
      <c r="H766" s="5" t="s">
        <v>2044</v>
      </c>
      <c r="I766" s="5" t="s">
        <v>2051</v>
      </c>
      <c r="J766" s="5" t="s">
        <v>2017</v>
      </c>
      <c r="K766" s="5" t="str">
        <f>VLOOKUP(J766,Sheet2!$A$1:$B$11,2,FALSE)</f>
        <v>Casual Wear</v>
      </c>
      <c r="L766" s="5">
        <v>3</v>
      </c>
      <c r="M766" s="6">
        <v>950</v>
      </c>
      <c r="N766" s="6">
        <v>2850</v>
      </c>
      <c r="O766" s="7">
        <v>0.2</v>
      </c>
      <c r="P766" s="8">
        <f t="shared" si="22"/>
        <v>570</v>
      </c>
      <c r="Q766" s="9">
        <f t="shared" si="23"/>
        <v>2280</v>
      </c>
      <c r="R766" s="5">
        <v>45</v>
      </c>
      <c r="S766" s="5" t="s">
        <v>2033</v>
      </c>
      <c r="T766" s="5" t="s">
        <v>2037</v>
      </c>
    </row>
    <row r="767" spans="1:20" x14ac:dyDescent="0.25">
      <c r="A767" s="5" t="s">
        <v>780</v>
      </c>
      <c r="B767" s="10">
        <v>45465</v>
      </c>
      <c r="C767" s="5" t="s">
        <v>1020</v>
      </c>
      <c r="D767" s="11" t="s">
        <v>1783</v>
      </c>
      <c r="E767" s="5" t="s">
        <v>2816</v>
      </c>
      <c r="F767" s="5">
        <v>43</v>
      </c>
      <c r="G767" s="5" t="str" cm="1">
        <f t="array" ref="G767">_xlfn.IFS(F767&lt;12,"Child",F767&lt;18,"Teen",F767&lt;25,"Young",F767&lt;40,"Adult",F767&lt;60,"Middle Age",F767&gt;=60,"Old")</f>
        <v>Middle Age</v>
      </c>
      <c r="H767" s="5" t="s">
        <v>2044</v>
      </c>
      <c r="I767" s="5" t="s">
        <v>2045</v>
      </c>
      <c r="J767" s="5" t="s">
        <v>2025</v>
      </c>
      <c r="K767" s="5" t="str">
        <f>VLOOKUP(J767,Sheet2!$A$1:$B$11,2,FALSE)</f>
        <v>Formal Wear</v>
      </c>
      <c r="L767" s="5">
        <v>2</v>
      </c>
      <c r="M767" s="6">
        <v>1123</v>
      </c>
      <c r="N767" s="6">
        <v>2246</v>
      </c>
      <c r="O767" s="7">
        <v>0.2</v>
      </c>
      <c r="P767" s="8">
        <f t="shared" si="22"/>
        <v>449.20000000000005</v>
      </c>
      <c r="Q767" s="9">
        <f t="shared" si="23"/>
        <v>1796.8</v>
      </c>
      <c r="R767" s="5">
        <v>35</v>
      </c>
      <c r="S767" s="5" t="s">
        <v>2033</v>
      </c>
      <c r="T767" s="5" t="s">
        <v>2036</v>
      </c>
    </row>
    <row r="768" spans="1:20" x14ac:dyDescent="0.25">
      <c r="A768" s="5" t="s">
        <v>781</v>
      </c>
      <c r="B768" s="10">
        <v>45640</v>
      </c>
      <c r="C768" s="5" t="s">
        <v>1020</v>
      </c>
      <c r="D768" s="11" t="s">
        <v>1784</v>
      </c>
      <c r="E768" s="5" t="s">
        <v>2200</v>
      </c>
      <c r="F768" s="5">
        <v>55</v>
      </c>
      <c r="G768" s="5" t="str" cm="1">
        <f t="array" ref="G768">_xlfn.IFS(F768&lt;12,"Child",F768&lt;18,"Teen",F768&lt;25,"Young",F768&lt;40,"Adult",F768&lt;60,"Middle Age",F768&gt;=60,"Old")</f>
        <v>Middle Age</v>
      </c>
      <c r="H768" s="5" t="s">
        <v>2044</v>
      </c>
      <c r="I768" s="5" t="s">
        <v>2048</v>
      </c>
      <c r="J768" s="5" t="s">
        <v>2025</v>
      </c>
      <c r="K768" s="5" t="str">
        <f>VLOOKUP(J768,Sheet2!$A$1:$B$11,2,FALSE)</f>
        <v>Formal Wear</v>
      </c>
      <c r="L768" s="5">
        <v>2</v>
      </c>
      <c r="M768" s="6">
        <v>313</v>
      </c>
      <c r="N768" s="6">
        <v>626</v>
      </c>
      <c r="O768" s="7">
        <v>0.1</v>
      </c>
      <c r="P768" s="8">
        <f t="shared" si="22"/>
        <v>62.6</v>
      </c>
      <c r="Q768" s="9">
        <f t="shared" si="23"/>
        <v>563.4</v>
      </c>
      <c r="R768" s="5">
        <v>11</v>
      </c>
      <c r="S768" s="5" t="s">
        <v>2032</v>
      </c>
      <c r="T768" s="5" t="s">
        <v>2036</v>
      </c>
    </row>
    <row r="769" spans="1:20" x14ac:dyDescent="0.25">
      <c r="A769" s="5" t="s">
        <v>782</v>
      </c>
      <c r="B769" s="10">
        <v>45434</v>
      </c>
      <c r="C769" s="5" t="s">
        <v>1017</v>
      </c>
      <c r="D769" s="11" t="s">
        <v>1785</v>
      </c>
      <c r="E769" s="5" t="s">
        <v>2817</v>
      </c>
      <c r="F769" s="5">
        <v>39</v>
      </c>
      <c r="G769" s="5" t="str" cm="1">
        <f t="array" ref="G769">_xlfn.IFS(F769&lt;12,"Child",F769&lt;18,"Teen",F769&lt;25,"Young",F769&lt;40,"Adult",F769&lt;60,"Middle Age",F769&gt;=60,"Old")</f>
        <v>Adult</v>
      </c>
      <c r="H769" s="5" t="s">
        <v>2043</v>
      </c>
      <c r="I769" s="5" t="s">
        <v>2050</v>
      </c>
      <c r="J769" s="5" t="s">
        <v>2025</v>
      </c>
      <c r="K769" s="5" t="str">
        <f>VLOOKUP(J769,Sheet2!$A$1:$B$11,2,FALSE)</f>
        <v>Formal Wear</v>
      </c>
      <c r="L769" s="5">
        <v>1</v>
      </c>
      <c r="M769" s="6">
        <v>773</v>
      </c>
      <c r="N769" s="6">
        <v>773</v>
      </c>
      <c r="O769" s="7">
        <v>0.05</v>
      </c>
      <c r="P769" s="8">
        <f t="shared" si="22"/>
        <v>38.650000000000006</v>
      </c>
      <c r="Q769" s="9">
        <f t="shared" si="23"/>
        <v>734.35</v>
      </c>
      <c r="R769" s="5">
        <v>14</v>
      </c>
      <c r="S769" s="5" t="s">
        <v>2033</v>
      </c>
      <c r="T769" s="5" t="s">
        <v>2035</v>
      </c>
    </row>
    <row r="770" spans="1:20" x14ac:dyDescent="0.25">
      <c r="A770" s="5" t="s">
        <v>783</v>
      </c>
      <c r="B770" s="10">
        <v>45650</v>
      </c>
      <c r="C770" s="5" t="s">
        <v>1019</v>
      </c>
      <c r="D770" s="11" t="s">
        <v>1786</v>
      </c>
      <c r="E770" s="5" t="s">
        <v>2818</v>
      </c>
      <c r="F770" s="5">
        <v>50</v>
      </c>
      <c r="G770" s="5" t="str" cm="1">
        <f t="array" ref="G770">_xlfn.IFS(F770&lt;12,"Child",F770&lt;18,"Teen",F770&lt;25,"Young",F770&lt;40,"Adult",F770&lt;60,"Middle Age",F770&gt;=60,"Old")</f>
        <v>Middle Age</v>
      </c>
      <c r="H770" s="5" t="s">
        <v>2043</v>
      </c>
      <c r="I770" s="5" t="s">
        <v>2053</v>
      </c>
      <c r="J770" s="5" t="s">
        <v>2021</v>
      </c>
      <c r="K770" s="5" t="str">
        <f>VLOOKUP(J770,Sheet2!$A$1:$B$11,2,FALSE)</f>
        <v>Casual Wear</v>
      </c>
      <c r="L770" s="5">
        <v>1</v>
      </c>
      <c r="M770" s="6">
        <v>652</v>
      </c>
      <c r="N770" s="6">
        <v>652</v>
      </c>
      <c r="O770" s="7">
        <v>0.15</v>
      </c>
      <c r="P770" s="8">
        <f t="shared" si="22"/>
        <v>97.8</v>
      </c>
      <c r="Q770" s="9">
        <f t="shared" si="23"/>
        <v>554.20000000000005</v>
      </c>
      <c r="R770" s="5">
        <v>11</v>
      </c>
      <c r="S770" s="5" t="s">
        <v>2034</v>
      </c>
      <c r="T770" s="5" t="s">
        <v>2035</v>
      </c>
    </row>
    <row r="771" spans="1:20" x14ac:dyDescent="0.25">
      <c r="A771" s="5" t="s">
        <v>784</v>
      </c>
      <c r="B771" s="10">
        <v>45364</v>
      </c>
      <c r="C771" s="5" t="s">
        <v>1017</v>
      </c>
      <c r="D771" s="11" t="s">
        <v>1787</v>
      </c>
      <c r="E771" s="5" t="s">
        <v>2819</v>
      </c>
      <c r="F771" s="5">
        <v>51</v>
      </c>
      <c r="G771" s="5" t="str" cm="1">
        <f t="array" ref="G771">_xlfn.IFS(F771&lt;12,"Child",F771&lt;18,"Teen",F771&lt;25,"Young",F771&lt;40,"Adult",F771&lt;60,"Middle Age",F771&gt;=60,"Old")</f>
        <v>Middle Age</v>
      </c>
      <c r="H771" s="5" t="s">
        <v>2044</v>
      </c>
      <c r="I771" s="5" t="s">
        <v>2051</v>
      </c>
      <c r="J771" s="5" t="s">
        <v>2016</v>
      </c>
      <c r="K771" s="5" t="str">
        <f>VLOOKUP(J771,Sheet2!$A$1:$B$11,2,FALSE)</f>
        <v>Winter Wear</v>
      </c>
      <c r="L771" s="5">
        <v>4</v>
      </c>
      <c r="M771" s="6">
        <v>1127</v>
      </c>
      <c r="N771" s="6">
        <v>4508</v>
      </c>
      <c r="O771" s="7">
        <v>0.1</v>
      </c>
      <c r="P771" s="8">
        <f t="shared" ref="P771:P834" si="24">N771*O771</f>
        <v>450.8</v>
      </c>
      <c r="Q771" s="9">
        <f t="shared" ref="Q771:Q834" si="25">N771-P771</f>
        <v>4057.2</v>
      </c>
      <c r="R771" s="5">
        <v>81</v>
      </c>
      <c r="S771" s="5" t="s">
        <v>2033</v>
      </c>
      <c r="T771" s="5" t="s">
        <v>2036</v>
      </c>
    </row>
    <row r="772" spans="1:20" x14ac:dyDescent="0.25">
      <c r="A772" s="5" t="s">
        <v>785</v>
      </c>
      <c r="B772" s="10">
        <v>45670</v>
      </c>
      <c r="C772" s="5" t="s">
        <v>1016</v>
      </c>
      <c r="D772" s="11" t="s">
        <v>1788</v>
      </c>
      <c r="E772" s="5" t="s">
        <v>2820</v>
      </c>
      <c r="F772" s="5">
        <v>53</v>
      </c>
      <c r="G772" s="5" t="str" cm="1">
        <f t="array" ref="G772">_xlfn.IFS(F772&lt;12,"Child",F772&lt;18,"Teen",F772&lt;25,"Young",F772&lt;40,"Adult",F772&lt;60,"Middle Age",F772&gt;=60,"Old")</f>
        <v>Middle Age</v>
      </c>
      <c r="H772" s="5" t="s">
        <v>2044</v>
      </c>
      <c r="I772" s="5" t="s">
        <v>2053</v>
      </c>
      <c r="J772" s="5" t="s">
        <v>2023</v>
      </c>
      <c r="K772" s="5" t="str">
        <f>VLOOKUP(J772,Sheet2!$A$1:$B$11,2,FALSE)</f>
        <v>Formal Wear</v>
      </c>
      <c r="L772" s="5">
        <v>5</v>
      </c>
      <c r="M772" s="6">
        <v>282</v>
      </c>
      <c r="N772" s="6">
        <v>1410</v>
      </c>
      <c r="O772" s="7">
        <v>0.05</v>
      </c>
      <c r="P772" s="8">
        <f t="shared" si="24"/>
        <v>70.5</v>
      </c>
      <c r="Q772" s="9">
        <f t="shared" si="25"/>
        <v>1339.5</v>
      </c>
      <c r="R772" s="5">
        <v>26</v>
      </c>
      <c r="S772" s="5" t="s">
        <v>2033</v>
      </c>
      <c r="T772" s="5" t="s">
        <v>2037</v>
      </c>
    </row>
    <row r="773" spans="1:20" x14ac:dyDescent="0.25">
      <c r="A773" s="5" t="s">
        <v>786</v>
      </c>
      <c r="B773" s="10">
        <v>45595</v>
      </c>
      <c r="C773" s="5" t="s">
        <v>1017</v>
      </c>
      <c r="D773" s="11" t="s">
        <v>1789</v>
      </c>
      <c r="E773" s="5" t="s">
        <v>2821</v>
      </c>
      <c r="F773" s="5">
        <v>38</v>
      </c>
      <c r="G773" s="5" t="str" cm="1">
        <f t="array" ref="G773">_xlfn.IFS(F773&lt;12,"Child",F773&lt;18,"Teen",F773&lt;25,"Young",F773&lt;40,"Adult",F773&lt;60,"Middle Age",F773&gt;=60,"Old")</f>
        <v>Adult</v>
      </c>
      <c r="H773" s="5" t="s">
        <v>2043</v>
      </c>
      <c r="I773" s="5" t="s">
        <v>2048</v>
      </c>
      <c r="J773" s="5" t="s">
        <v>2016</v>
      </c>
      <c r="K773" s="5" t="str">
        <f>VLOOKUP(J773,Sheet2!$A$1:$B$11,2,FALSE)</f>
        <v>Winter Wear</v>
      </c>
      <c r="L773" s="5">
        <v>5</v>
      </c>
      <c r="M773" s="6">
        <v>211</v>
      </c>
      <c r="N773" s="6">
        <v>1055</v>
      </c>
      <c r="O773" s="7">
        <v>0.2</v>
      </c>
      <c r="P773" s="8">
        <f t="shared" si="24"/>
        <v>211</v>
      </c>
      <c r="Q773" s="9">
        <f t="shared" si="25"/>
        <v>844</v>
      </c>
      <c r="R773" s="5">
        <v>16</v>
      </c>
      <c r="S773" s="5" t="s">
        <v>2033</v>
      </c>
      <c r="T773" s="5" t="s">
        <v>2036</v>
      </c>
    </row>
    <row r="774" spans="1:20" x14ac:dyDescent="0.25">
      <c r="A774" s="5" t="s">
        <v>787</v>
      </c>
      <c r="B774" s="10">
        <v>45634</v>
      </c>
      <c r="C774" s="5" t="s">
        <v>1015</v>
      </c>
      <c r="D774" s="11" t="s">
        <v>1790</v>
      </c>
      <c r="E774" s="5" t="s">
        <v>2822</v>
      </c>
      <c r="F774" s="5">
        <v>29</v>
      </c>
      <c r="G774" s="5" t="str" cm="1">
        <f t="array" ref="G774">_xlfn.IFS(F774&lt;12,"Child",F774&lt;18,"Teen",F774&lt;25,"Young",F774&lt;40,"Adult",F774&lt;60,"Middle Age",F774&gt;=60,"Old")</f>
        <v>Adult</v>
      </c>
      <c r="H774" s="5" t="s">
        <v>2043</v>
      </c>
      <c r="I774" s="5" t="s">
        <v>2049</v>
      </c>
      <c r="J774" s="5" t="s">
        <v>2019</v>
      </c>
      <c r="K774" s="5" t="str">
        <f>VLOOKUP(J774,Sheet2!$A$1:$B$11,2,FALSE)</f>
        <v>Formal Wear</v>
      </c>
      <c r="L774" s="5">
        <v>2</v>
      </c>
      <c r="M774" s="6">
        <v>616</v>
      </c>
      <c r="N774" s="6">
        <v>1232</v>
      </c>
      <c r="O774" s="7">
        <v>0.1</v>
      </c>
      <c r="P774" s="8">
        <f t="shared" si="24"/>
        <v>123.2</v>
      </c>
      <c r="Q774" s="9">
        <f t="shared" si="25"/>
        <v>1108.8</v>
      </c>
      <c r="R774" s="5">
        <v>22</v>
      </c>
      <c r="S774" s="5" t="s">
        <v>2032</v>
      </c>
      <c r="T774" s="5" t="s">
        <v>2035</v>
      </c>
    </row>
    <row r="775" spans="1:20" x14ac:dyDescent="0.25">
      <c r="A775" s="5" t="s">
        <v>788</v>
      </c>
      <c r="B775" s="10">
        <v>45355</v>
      </c>
      <c r="C775" s="5" t="s">
        <v>1016</v>
      </c>
      <c r="D775" s="11" t="s">
        <v>1791</v>
      </c>
      <c r="E775" s="5" t="s">
        <v>2823</v>
      </c>
      <c r="F775" s="5">
        <v>27</v>
      </c>
      <c r="G775" s="5" t="str" cm="1">
        <f t="array" ref="G775">_xlfn.IFS(F775&lt;12,"Child",F775&lt;18,"Teen",F775&lt;25,"Young",F775&lt;40,"Adult",F775&lt;60,"Middle Age",F775&gt;=60,"Old")</f>
        <v>Adult</v>
      </c>
      <c r="H775" s="5" t="s">
        <v>2044</v>
      </c>
      <c r="I775" s="5" t="s">
        <v>2051</v>
      </c>
      <c r="J775" s="5" t="s">
        <v>2019</v>
      </c>
      <c r="K775" s="5" t="str">
        <f>VLOOKUP(J775,Sheet2!$A$1:$B$11,2,FALSE)</f>
        <v>Formal Wear</v>
      </c>
      <c r="L775" s="5">
        <v>2</v>
      </c>
      <c r="M775" s="6">
        <v>1031</v>
      </c>
      <c r="N775" s="6">
        <v>2062</v>
      </c>
      <c r="O775" s="7">
        <v>0.1</v>
      </c>
      <c r="P775" s="8">
        <f t="shared" si="24"/>
        <v>206.20000000000002</v>
      </c>
      <c r="Q775" s="9">
        <f t="shared" si="25"/>
        <v>1855.8</v>
      </c>
      <c r="R775" s="5">
        <v>37</v>
      </c>
      <c r="S775" s="5" t="s">
        <v>2032</v>
      </c>
      <c r="T775" s="5" t="s">
        <v>2037</v>
      </c>
    </row>
    <row r="776" spans="1:20" x14ac:dyDescent="0.25">
      <c r="A776" s="5" t="s">
        <v>789</v>
      </c>
      <c r="B776" s="10">
        <v>45430</v>
      </c>
      <c r="C776" s="5" t="s">
        <v>1020</v>
      </c>
      <c r="D776" s="11" t="s">
        <v>1792</v>
      </c>
      <c r="E776" s="5" t="s">
        <v>2824</v>
      </c>
      <c r="F776" s="5">
        <v>55</v>
      </c>
      <c r="G776" s="5" t="str" cm="1">
        <f t="array" ref="G776">_xlfn.IFS(F776&lt;12,"Child",F776&lt;18,"Teen",F776&lt;25,"Young",F776&lt;40,"Adult",F776&lt;60,"Middle Age",F776&gt;=60,"Old")</f>
        <v>Middle Age</v>
      </c>
      <c r="H776" s="5" t="s">
        <v>2043</v>
      </c>
      <c r="I776" s="5" t="s">
        <v>2053</v>
      </c>
      <c r="J776" s="5" t="s">
        <v>2022</v>
      </c>
      <c r="K776" s="5" t="str">
        <f>VLOOKUP(J776,Sheet2!$A$1:$B$11,2,FALSE)</f>
        <v>Sportswear</v>
      </c>
      <c r="L776" s="5">
        <v>4</v>
      </c>
      <c r="M776" s="6">
        <v>402</v>
      </c>
      <c r="N776" s="6">
        <v>1608</v>
      </c>
      <c r="O776" s="7">
        <v>0.05</v>
      </c>
      <c r="P776" s="8">
        <f t="shared" si="24"/>
        <v>80.400000000000006</v>
      </c>
      <c r="Q776" s="9">
        <f t="shared" si="25"/>
        <v>1527.6</v>
      </c>
      <c r="R776" s="5">
        <v>30</v>
      </c>
      <c r="S776" s="5" t="s">
        <v>2032</v>
      </c>
      <c r="T776" s="5" t="s">
        <v>2035</v>
      </c>
    </row>
    <row r="777" spans="1:20" x14ac:dyDescent="0.25">
      <c r="A777" s="5" t="s">
        <v>790</v>
      </c>
      <c r="B777" s="10">
        <v>45582</v>
      </c>
      <c r="C777" s="5" t="s">
        <v>1018</v>
      </c>
      <c r="D777" s="11" t="s">
        <v>1793</v>
      </c>
      <c r="E777" s="5" t="s">
        <v>2825</v>
      </c>
      <c r="F777" s="5">
        <v>38</v>
      </c>
      <c r="G777" s="5" t="str" cm="1">
        <f t="array" ref="G777">_xlfn.IFS(F777&lt;12,"Child",F777&lt;18,"Teen",F777&lt;25,"Young",F777&lt;40,"Adult",F777&lt;60,"Middle Age",F777&gt;=60,"Old")</f>
        <v>Adult</v>
      </c>
      <c r="H777" s="5" t="s">
        <v>2043</v>
      </c>
      <c r="I777" s="5" t="s">
        <v>2015</v>
      </c>
      <c r="J777" s="5" t="s">
        <v>2021</v>
      </c>
      <c r="K777" s="5" t="str">
        <f>VLOOKUP(J777,Sheet2!$A$1:$B$11,2,FALSE)</f>
        <v>Casual Wear</v>
      </c>
      <c r="L777" s="5">
        <v>3</v>
      </c>
      <c r="M777" s="6">
        <v>209</v>
      </c>
      <c r="N777" s="6">
        <v>627</v>
      </c>
      <c r="O777" s="7">
        <v>0.2</v>
      </c>
      <c r="P777" s="8">
        <f t="shared" si="24"/>
        <v>125.4</v>
      </c>
      <c r="Q777" s="9">
        <f t="shared" si="25"/>
        <v>501.6</v>
      </c>
      <c r="R777" s="5">
        <v>10</v>
      </c>
      <c r="S777" s="5" t="s">
        <v>2032</v>
      </c>
      <c r="T777" s="5" t="s">
        <v>2035</v>
      </c>
    </row>
    <row r="778" spans="1:20" x14ac:dyDescent="0.25">
      <c r="A778" s="5" t="s">
        <v>791</v>
      </c>
      <c r="B778" s="10">
        <v>45576</v>
      </c>
      <c r="C778" s="5" t="s">
        <v>1014</v>
      </c>
      <c r="D778" s="11" t="s">
        <v>1794</v>
      </c>
      <c r="E778" s="5" t="s">
        <v>2826</v>
      </c>
      <c r="F778" s="5">
        <v>19</v>
      </c>
      <c r="G778" s="5" t="str" cm="1">
        <f t="array" ref="G778">_xlfn.IFS(F778&lt;12,"Child",F778&lt;18,"Teen",F778&lt;25,"Young",F778&lt;40,"Adult",F778&lt;60,"Middle Age",F778&gt;=60,"Old")</f>
        <v>Young</v>
      </c>
      <c r="H778" s="5" t="s">
        <v>2044</v>
      </c>
      <c r="I778" s="5" t="s">
        <v>2052</v>
      </c>
      <c r="J778" s="5" t="s">
        <v>2017</v>
      </c>
      <c r="K778" s="5" t="str">
        <f>VLOOKUP(J778,Sheet2!$A$1:$B$11,2,FALSE)</f>
        <v>Casual Wear</v>
      </c>
      <c r="L778" s="5">
        <v>4</v>
      </c>
      <c r="M778" s="6">
        <v>1119</v>
      </c>
      <c r="N778" s="6">
        <v>4476</v>
      </c>
      <c r="O778" s="7">
        <v>0.2</v>
      </c>
      <c r="P778" s="8">
        <f t="shared" si="24"/>
        <v>895.2</v>
      </c>
      <c r="Q778" s="9">
        <f t="shared" si="25"/>
        <v>3580.8</v>
      </c>
      <c r="R778" s="5">
        <v>71</v>
      </c>
      <c r="S778" s="5" t="s">
        <v>2032</v>
      </c>
      <c r="T778" s="5" t="s">
        <v>2036</v>
      </c>
    </row>
    <row r="779" spans="1:20" x14ac:dyDescent="0.25">
      <c r="A779" s="5" t="s">
        <v>792</v>
      </c>
      <c r="B779" s="10">
        <v>45653</v>
      </c>
      <c r="C779" s="5" t="s">
        <v>1014</v>
      </c>
      <c r="D779" s="11" t="s">
        <v>1795</v>
      </c>
      <c r="E779" s="5" t="s">
        <v>2827</v>
      </c>
      <c r="F779" s="5">
        <v>55</v>
      </c>
      <c r="G779" s="5" t="str" cm="1">
        <f t="array" ref="G779">_xlfn.IFS(F779&lt;12,"Child",F779&lt;18,"Teen",F779&lt;25,"Young",F779&lt;40,"Adult",F779&lt;60,"Middle Age",F779&gt;=60,"Old")</f>
        <v>Middle Age</v>
      </c>
      <c r="H779" s="5" t="s">
        <v>2043</v>
      </c>
      <c r="I779" s="5" t="s">
        <v>2045</v>
      </c>
      <c r="J779" s="5" t="s">
        <v>2023</v>
      </c>
      <c r="K779" s="5" t="str">
        <f>VLOOKUP(J779,Sheet2!$A$1:$B$11,2,FALSE)</f>
        <v>Formal Wear</v>
      </c>
      <c r="L779" s="5">
        <v>2</v>
      </c>
      <c r="M779" s="6">
        <v>460</v>
      </c>
      <c r="N779" s="6">
        <v>920</v>
      </c>
      <c r="O779" s="7">
        <v>0</v>
      </c>
      <c r="P779" s="8">
        <f t="shared" si="24"/>
        <v>0</v>
      </c>
      <c r="Q779" s="9">
        <f t="shared" si="25"/>
        <v>920</v>
      </c>
      <c r="R779" s="5">
        <v>18</v>
      </c>
      <c r="S779" s="5" t="s">
        <v>2032</v>
      </c>
      <c r="T779" s="5" t="s">
        <v>2037</v>
      </c>
    </row>
    <row r="780" spans="1:20" x14ac:dyDescent="0.25">
      <c r="A780" s="5" t="s">
        <v>793</v>
      </c>
      <c r="B780" s="10">
        <v>45647</v>
      </c>
      <c r="C780" s="5" t="s">
        <v>1020</v>
      </c>
      <c r="D780" s="11" t="s">
        <v>1796</v>
      </c>
      <c r="E780" s="5" t="s">
        <v>2828</v>
      </c>
      <c r="F780" s="5">
        <v>44</v>
      </c>
      <c r="G780" s="5" t="str" cm="1">
        <f t="array" ref="G780">_xlfn.IFS(F780&lt;12,"Child",F780&lt;18,"Teen",F780&lt;25,"Young",F780&lt;40,"Adult",F780&lt;60,"Middle Age",F780&gt;=60,"Old")</f>
        <v>Middle Age</v>
      </c>
      <c r="H780" s="5" t="s">
        <v>2043</v>
      </c>
      <c r="I780" s="5" t="s">
        <v>2047</v>
      </c>
      <c r="J780" s="5" t="s">
        <v>2022</v>
      </c>
      <c r="K780" s="5" t="str">
        <f>VLOOKUP(J780,Sheet2!$A$1:$B$11,2,FALSE)</f>
        <v>Sportswear</v>
      </c>
      <c r="L780" s="5">
        <v>1</v>
      </c>
      <c r="M780" s="6">
        <v>505</v>
      </c>
      <c r="N780" s="6">
        <v>505</v>
      </c>
      <c r="O780" s="7">
        <v>0.1</v>
      </c>
      <c r="P780" s="8">
        <f t="shared" si="24"/>
        <v>50.5</v>
      </c>
      <c r="Q780" s="9">
        <f t="shared" si="25"/>
        <v>454.5</v>
      </c>
      <c r="R780" s="5">
        <v>9</v>
      </c>
      <c r="S780" s="5" t="s">
        <v>2033</v>
      </c>
      <c r="T780" s="5" t="s">
        <v>2037</v>
      </c>
    </row>
    <row r="781" spans="1:20" x14ac:dyDescent="0.25">
      <c r="A781" s="5" t="s">
        <v>794</v>
      </c>
      <c r="B781" s="10">
        <v>45558</v>
      </c>
      <c r="C781" s="5" t="s">
        <v>1016</v>
      </c>
      <c r="D781" s="11" t="s">
        <v>1797</v>
      </c>
      <c r="E781" s="5" t="s">
        <v>2829</v>
      </c>
      <c r="F781" s="5">
        <v>57</v>
      </c>
      <c r="G781" s="5" t="str" cm="1">
        <f t="array" ref="G781">_xlfn.IFS(F781&lt;12,"Child",F781&lt;18,"Teen",F781&lt;25,"Young",F781&lt;40,"Adult",F781&lt;60,"Middle Age",F781&gt;=60,"Old")</f>
        <v>Middle Age</v>
      </c>
      <c r="H781" s="5" t="s">
        <v>2044</v>
      </c>
      <c r="I781" s="5" t="s">
        <v>2050</v>
      </c>
      <c r="J781" s="5" t="s">
        <v>2018</v>
      </c>
      <c r="K781" s="5" t="str">
        <f>VLOOKUP(J781,Sheet2!$A$1:$B$11,2,FALSE)</f>
        <v>Sportswear</v>
      </c>
      <c r="L781" s="5">
        <v>1</v>
      </c>
      <c r="M781" s="6">
        <v>733</v>
      </c>
      <c r="N781" s="6">
        <v>733</v>
      </c>
      <c r="O781" s="7">
        <v>0</v>
      </c>
      <c r="P781" s="8">
        <f t="shared" si="24"/>
        <v>0</v>
      </c>
      <c r="Q781" s="9">
        <f t="shared" si="25"/>
        <v>733</v>
      </c>
      <c r="R781" s="5">
        <v>14</v>
      </c>
      <c r="S781" s="5" t="s">
        <v>2032</v>
      </c>
      <c r="T781" s="5" t="s">
        <v>2035</v>
      </c>
    </row>
    <row r="782" spans="1:20" x14ac:dyDescent="0.25">
      <c r="A782" s="5" t="s">
        <v>795</v>
      </c>
      <c r="B782" s="10">
        <v>45537</v>
      </c>
      <c r="C782" s="5" t="s">
        <v>1016</v>
      </c>
      <c r="D782" s="11" t="s">
        <v>1798</v>
      </c>
      <c r="E782" s="5" t="s">
        <v>2830</v>
      </c>
      <c r="F782" s="5">
        <v>56</v>
      </c>
      <c r="G782" s="5" t="str" cm="1">
        <f t="array" ref="G782">_xlfn.IFS(F782&lt;12,"Child",F782&lt;18,"Teen",F782&lt;25,"Young",F782&lt;40,"Adult",F782&lt;60,"Middle Age",F782&gt;=60,"Old")</f>
        <v>Middle Age</v>
      </c>
      <c r="H782" s="5" t="s">
        <v>2044</v>
      </c>
      <c r="I782" s="5" t="s">
        <v>2015</v>
      </c>
      <c r="J782" s="5" t="s">
        <v>2017</v>
      </c>
      <c r="K782" s="5" t="str">
        <f>VLOOKUP(J782,Sheet2!$A$1:$B$11,2,FALSE)</f>
        <v>Casual Wear</v>
      </c>
      <c r="L782" s="5">
        <v>4</v>
      </c>
      <c r="M782" s="6">
        <v>526</v>
      </c>
      <c r="N782" s="6">
        <v>2104</v>
      </c>
      <c r="O782" s="7">
        <v>0.05</v>
      </c>
      <c r="P782" s="8">
        <f t="shared" si="24"/>
        <v>105.2</v>
      </c>
      <c r="Q782" s="9">
        <f t="shared" si="25"/>
        <v>1998.8</v>
      </c>
      <c r="R782" s="5">
        <v>39</v>
      </c>
      <c r="S782" s="5" t="s">
        <v>2034</v>
      </c>
      <c r="T782" s="5" t="s">
        <v>2035</v>
      </c>
    </row>
    <row r="783" spans="1:20" x14ac:dyDescent="0.25">
      <c r="A783" s="5" t="s">
        <v>796</v>
      </c>
      <c r="B783" s="10">
        <v>45624</v>
      </c>
      <c r="C783" s="5" t="s">
        <v>1018</v>
      </c>
      <c r="D783" s="11" t="s">
        <v>1799</v>
      </c>
      <c r="E783" s="5" t="s">
        <v>2831</v>
      </c>
      <c r="F783" s="5">
        <v>39</v>
      </c>
      <c r="G783" s="5" t="str" cm="1">
        <f t="array" ref="G783">_xlfn.IFS(F783&lt;12,"Child",F783&lt;18,"Teen",F783&lt;25,"Young",F783&lt;40,"Adult",F783&lt;60,"Middle Age",F783&gt;=60,"Old")</f>
        <v>Adult</v>
      </c>
      <c r="H783" s="5" t="s">
        <v>2043</v>
      </c>
      <c r="I783" s="5" t="s">
        <v>2051</v>
      </c>
      <c r="J783" s="5" t="s">
        <v>2023</v>
      </c>
      <c r="K783" s="5" t="str">
        <f>VLOOKUP(J783,Sheet2!$A$1:$B$11,2,FALSE)</f>
        <v>Formal Wear</v>
      </c>
      <c r="L783" s="5">
        <v>2</v>
      </c>
      <c r="M783" s="6">
        <v>881</v>
      </c>
      <c r="N783" s="6">
        <v>1762</v>
      </c>
      <c r="O783" s="7">
        <v>0.1</v>
      </c>
      <c r="P783" s="8">
        <f t="shared" si="24"/>
        <v>176.20000000000002</v>
      </c>
      <c r="Q783" s="9">
        <f t="shared" si="25"/>
        <v>1585.8</v>
      </c>
      <c r="R783" s="5">
        <v>31</v>
      </c>
      <c r="S783" s="5" t="s">
        <v>2034</v>
      </c>
      <c r="T783" s="5" t="s">
        <v>2036</v>
      </c>
    </row>
    <row r="784" spans="1:20" x14ac:dyDescent="0.25">
      <c r="A784" s="5" t="s">
        <v>797</v>
      </c>
      <c r="B784" s="10">
        <v>45368</v>
      </c>
      <c r="C784" s="5" t="s">
        <v>1015</v>
      </c>
      <c r="D784" s="11" t="s">
        <v>1800</v>
      </c>
      <c r="E784" s="5" t="s">
        <v>2832</v>
      </c>
      <c r="F784" s="5">
        <v>49</v>
      </c>
      <c r="G784" s="5" t="str" cm="1">
        <f t="array" ref="G784">_xlfn.IFS(F784&lt;12,"Child",F784&lt;18,"Teen",F784&lt;25,"Young",F784&lt;40,"Adult",F784&lt;60,"Middle Age",F784&gt;=60,"Old")</f>
        <v>Middle Age</v>
      </c>
      <c r="H784" s="5" t="s">
        <v>2043</v>
      </c>
      <c r="I784" s="5" t="s">
        <v>2049</v>
      </c>
      <c r="J784" s="5" t="s">
        <v>2016</v>
      </c>
      <c r="K784" s="5" t="str">
        <f>VLOOKUP(J784,Sheet2!$A$1:$B$11,2,FALSE)</f>
        <v>Winter Wear</v>
      </c>
      <c r="L784" s="5">
        <v>3</v>
      </c>
      <c r="M784" s="6">
        <v>522</v>
      </c>
      <c r="N784" s="6">
        <v>1566</v>
      </c>
      <c r="O784" s="7">
        <v>0.2</v>
      </c>
      <c r="P784" s="8">
        <f t="shared" si="24"/>
        <v>313.20000000000005</v>
      </c>
      <c r="Q784" s="9">
        <f t="shared" si="25"/>
        <v>1252.8</v>
      </c>
      <c r="R784" s="5">
        <v>25</v>
      </c>
      <c r="S784" s="5" t="s">
        <v>2034</v>
      </c>
      <c r="T784" s="5" t="s">
        <v>2037</v>
      </c>
    </row>
    <row r="785" spans="1:20" x14ac:dyDescent="0.25">
      <c r="A785" s="5" t="s">
        <v>798</v>
      </c>
      <c r="B785" s="10">
        <v>45688</v>
      </c>
      <c r="C785" s="5" t="s">
        <v>1014</v>
      </c>
      <c r="D785" s="11" t="s">
        <v>1801</v>
      </c>
      <c r="E785" s="5" t="s">
        <v>2833</v>
      </c>
      <c r="F785" s="5">
        <v>44</v>
      </c>
      <c r="G785" s="5" t="str" cm="1">
        <f t="array" ref="G785">_xlfn.IFS(F785&lt;12,"Child",F785&lt;18,"Teen",F785&lt;25,"Young",F785&lt;40,"Adult",F785&lt;60,"Middle Age",F785&gt;=60,"Old")</f>
        <v>Middle Age</v>
      </c>
      <c r="H785" s="5" t="s">
        <v>2043</v>
      </c>
      <c r="I785" s="5" t="s">
        <v>2046</v>
      </c>
      <c r="J785" s="5" t="s">
        <v>2018</v>
      </c>
      <c r="K785" s="5" t="str">
        <f>VLOOKUP(J785,Sheet2!$A$1:$B$11,2,FALSE)</f>
        <v>Sportswear</v>
      </c>
      <c r="L785" s="5">
        <v>2</v>
      </c>
      <c r="M785" s="6">
        <v>197</v>
      </c>
      <c r="N785" s="6">
        <v>394</v>
      </c>
      <c r="O785" s="7">
        <v>0.15</v>
      </c>
      <c r="P785" s="8">
        <f t="shared" si="24"/>
        <v>59.099999999999994</v>
      </c>
      <c r="Q785" s="9">
        <f t="shared" si="25"/>
        <v>334.9</v>
      </c>
      <c r="R785" s="5">
        <v>6</v>
      </c>
      <c r="S785" s="5" t="s">
        <v>2032</v>
      </c>
      <c r="T785" s="5" t="s">
        <v>2036</v>
      </c>
    </row>
    <row r="786" spans="1:20" x14ac:dyDescent="0.25">
      <c r="A786" s="5" t="s">
        <v>799</v>
      </c>
      <c r="B786" s="10">
        <v>45631</v>
      </c>
      <c r="C786" s="5" t="s">
        <v>1018</v>
      </c>
      <c r="D786" s="11" t="s">
        <v>1802</v>
      </c>
      <c r="E786" s="5" t="s">
        <v>2834</v>
      </c>
      <c r="F786" s="5">
        <v>36</v>
      </c>
      <c r="G786" s="5" t="str" cm="1">
        <f t="array" ref="G786">_xlfn.IFS(F786&lt;12,"Child",F786&lt;18,"Teen",F786&lt;25,"Young",F786&lt;40,"Adult",F786&lt;60,"Middle Age",F786&gt;=60,"Old")</f>
        <v>Adult</v>
      </c>
      <c r="H786" s="5" t="s">
        <v>2044</v>
      </c>
      <c r="I786" s="5" t="s">
        <v>2053</v>
      </c>
      <c r="J786" s="5" t="s">
        <v>2024</v>
      </c>
      <c r="K786" s="5" t="str">
        <f>VLOOKUP(J786,Sheet2!$A$1:$B$11,2,FALSE)</f>
        <v>Fashion Accessories</v>
      </c>
      <c r="L786" s="5">
        <v>1</v>
      </c>
      <c r="M786" s="6">
        <v>685</v>
      </c>
      <c r="N786" s="6">
        <v>685</v>
      </c>
      <c r="O786" s="7">
        <v>0.05</v>
      </c>
      <c r="P786" s="8">
        <f t="shared" si="24"/>
        <v>34.25</v>
      </c>
      <c r="Q786" s="9">
        <f t="shared" si="25"/>
        <v>650.75</v>
      </c>
      <c r="R786" s="5">
        <v>13</v>
      </c>
      <c r="S786" s="5" t="s">
        <v>2034</v>
      </c>
      <c r="T786" s="5" t="s">
        <v>2036</v>
      </c>
    </row>
    <row r="787" spans="1:20" x14ac:dyDescent="0.25">
      <c r="A787" s="5" t="s">
        <v>800</v>
      </c>
      <c r="B787" s="10">
        <v>45661</v>
      </c>
      <c r="C787" s="5" t="s">
        <v>1020</v>
      </c>
      <c r="D787" s="11" t="s">
        <v>1803</v>
      </c>
      <c r="E787" s="5" t="s">
        <v>2835</v>
      </c>
      <c r="F787" s="5">
        <v>33</v>
      </c>
      <c r="G787" s="5" t="str" cm="1">
        <f t="array" ref="G787">_xlfn.IFS(F787&lt;12,"Child",F787&lt;18,"Teen",F787&lt;25,"Young",F787&lt;40,"Adult",F787&lt;60,"Middle Age",F787&gt;=60,"Old")</f>
        <v>Adult</v>
      </c>
      <c r="H787" s="5" t="s">
        <v>2044</v>
      </c>
      <c r="I787" s="5" t="s">
        <v>2051</v>
      </c>
      <c r="J787" s="5" t="s">
        <v>2017</v>
      </c>
      <c r="K787" s="5" t="str">
        <f>VLOOKUP(J787,Sheet2!$A$1:$B$11,2,FALSE)</f>
        <v>Casual Wear</v>
      </c>
      <c r="L787" s="5">
        <v>3</v>
      </c>
      <c r="M787" s="6">
        <v>168</v>
      </c>
      <c r="N787" s="6">
        <v>504</v>
      </c>
      <c r="O787" s="7">
        <v>0</v>
      </c>
      <c r="P787" s="8">
        <f t="shared" si="24"/>
        <v>0</v>
      </c>
      <c r="Q787" s="9">
        <f t="shared" si="25"/>
        <v>504</v>
      </c>
      <c r="R787" s="5">
        <v>10</v>
      </c>
      <c r="S787" s="5" t="s">
        <v>2034</v>
      </c>
      <c r="T787" s="5" t="s">
        <v>2035</v>
      </c>
    </row>
    <row r="788" spans="1:20" x14ac:dyDescent="0.25">
      <c r="A788" s="5" t="s">
        <v>801</v>
      </c>
      <c r="B788" s="10">
        <v>45654</v>
      </c>
      <c r="C788" s="5" t="s">
        <v>1020</v>
      </c>
      <c r="D788" s="11" t="s">
        <v>1804</v>
      </c>
      <c r="E788" s="5" t="s">
        <v>2836</v>
      </c>
      <c r="F788" s="5">
        <v>22</v>
      </c>
      <c r="G788" s="5" t="str" cm="1">
        <f t="array" ref="G788">_xlfn.IFS(F788&lt;12,"Child",F788&lt;18,"Teen",F788&lt;25,"Young",F788&lt;40,"Adult",F788&lt;60,"Middle Age",F788&gt;=60,"Old")</f>
        <v>Young</v>
      </c>
      <c r="H788" s="5" t="s">
        <v>2043</v>
      </c>
      <c r="I788" s="5" t="s">
        <v>2049</v>
      </c>
      <c r="J788" s="5" t="s">
        <v>2017</v>
      </c>
      <c r="K788" s="5" t="str">
        <f>VLOOKUP(J788,Sheet2!$A$1:$B$11,2,FALSE)</f>
        <v>Casual Wear</v>
      </c>
      <c r="L788" s="5">
        <v>5</v>
      </c>
      <c r="M788" s="6">
        <v>556</v>
      </c>
      <c r="N788" s="6">
        <v>2780</v>
      </c>
      <c r="O788" s="7">
        <v>0</v>
      </c>
      <c r="P788" s="8">
        <f t="shared" si="24"/>
        <v>0</v>
      </c>
      <c r="Q788" s="9">
        <f t="shared" si="25"/>
        <v>2780</v>
      </c>
      <c r="R788" s="5">
        <v>55</v>
      </c>
      <c r="S788" s="5" t="s">
        <v>2033</v>
      </c>
      <c r="T788" s="5" t="s">
        <v>2035</v>
      </c>
    </row>
    <row r="789" spans="1:20" x14ac:dyDescent="0.25">
      <c r="A789" s="5" t="s">
        <v>802</v>
      </c>
      <c r="B789" s="10">
        <v>45719</v>
      </c>
      <c r="C789" s="5" t="s">
        <v>1016</v>
      </c>
      <c r="D789" s="11" t="s">
        <v>1805</v>
      </c>
      <c r="E789" s="5" t="s">
        <v>2837</v>
      </c>
      <c r="F789" s="5">
        <v>54</v>
      </c>
      <c r="G789" s="5" t="str" cm="1">
        <f t="array" ref="G789">_xlfn.IFS(F789&lt;12,"Child",F789&lt;18,"Teen",F789&lt;25,"Young",F789&lt;40,"Adult",F789&lt;60,"Middle Age",F789&gt;=60,"Old")</f>
        <v>Middle Age</v>
      </c>
      <c r="H789" s="5" t="s">
        <v>2043</v>
      </c>
      <c r="I789" s="5" t="s">
        <v>2045</v>
      </c>
      <c r="J789" s="5" t="s">
        <v>2023</v>
      </c>
      <c r="K789" s="5" t="str">
        <f>VLOOKUP(J789,Sheet2!$A$1:$B$11,2,FALSE)</f>
        <v>Formal Wear</v>
      </c>
      <c r="L789" s="5">
        <v>1</v>
      </c>
      <c r="M789" s="6">
        <v>907</v>
      </c>
      <c r="N789" s="6">
        <v>907</v>
      </c>
      <c r="O789" s="7">
        <v>0.2</v>
      </c>
      <c r="P789" s="8">
        <f t="shared" si="24"/>
        <v>181.4</v>
      </c>
      <c r="Q789" s="9">
        <f t="shared" si="25"/>
        <v>725.6</v>
      </c>
      <c r="R789" s="5">
        <v>14</v>
      </c>
      <c r="S789" s="5" t="s">
        <v>2033</v>
      </c>
      <c r="T789" s="5" t="s">
        <v>2036</v>
      </c>
    </row>
    <row r="790" spans="1:20" x14ac:dyDescent="0.25">
      <c r="A790" s="5" t="s">
        <v>803</v>
      </c>
      <c r="B790" s="10">
        <v>45620</v>
      </c>
      <c r="C790" s="5" t="s">
        <v>1015</v>
      </c>
      <c r="D790" s="11" t="s">
        <v>1806</v>
      </c>
      <c r="E790" s="5" t="s">
        <v>2838</v>
      </c>
      <c r="F790" s="5">
        <v>54</v>
      </c>
      <c r="G790" s="5" t="str" cm="1">
        <f t="array" ref="G790">_xlfn.IFS(F790&lt;12,"Child",F790&lt;18,"Teen",F790&lt;25,"Young",F790&lt;40,"Adult",F790&lt;60,"Middle Age",F790&gt;=60,"Old")</f>
        <v>Middle Age</v>
      </c>
      <c r="H790" s="5" t="s">
        <v>2043</v>
      </c>
      <c r="I790" s="5" t="s">
        <v>2052</v>
      </c>
      <c r="J790" s="5" t="s">
        <v>2024</v>
      </c>
      <c r="K790" s="5" t="str">
        <f>VLOOKUP(J790,Sheet2!$A$1:$B$11,2,FALSE)</f>
        <v>Fashion Accessories</v>
      </c>
      <c r="L790" s="5">
        <v>3</v>
      </c>
      <c r="M790" s="6">
        <v>545</v>
      </c>
      <c r="N790" s="6">
        <v>1635</v>
      </c>
      <c r="O790" s="7">
        <v>0.1</v>
      </c>
      <c r="P790" s="8">
        <f t="shared" si="24"/>
        <v>163.5</v>
      </c>
      <c r="Q790" s="9">
        <f t="shared" si="25"/>
        <v>1471.5</v>
      </c>
      <c r="R790" s="5">
        <v>29</v>
      </c>
      <c r="S790" s="5" t="s">
        <v>2034</v>
      </c>
      <c r="T790" s="5" t="s">
        <v>2037</v>
      </c>
    </row>
    <row r="791" spans="1:20" x14ac:dyDescent="0.25">
      <c r="A791" s="5" t="s">
        <v>804</v>
      </c>
      <c r="B791" s="10">
        <v>45717</v>
      </c>
      <c r="C791" s="5" t="s">
        <v>1020</v>
      </c>
      <c r="D791" s="11" t="s">
        <v>1807</v>
      </c>
      <c r="E791" s="5" t="s">
        <v>2839</v>
      </c>
      <c r="F791" s="5">
        <v>31</v>
      </c>
      <c r="G791" s="5" t="str" cm="1">
        <f t="array" ref="G791">_xlfn.IFS(F791&lt;12,"Child",F791&lt;18,"Teen",F791&lt;25,"Young",F791&lt;40,"Adult",F791&lt;60,"Middle Age",F791&gt;=60,"Old")</f>
        <v>Adult</v>
      </c>
      <c r="H791" s="5" t="s">
        <v>2043</v>
      </c>
      <c r="I791" s="5" t="s">
        <v>2051</v>
      </c>
      <c r="J791" s="5" t="s">
        <v>2020</v>
      </c>
      <c r="K791" s="5" t="str">
        <f>VLOOKUP(J791,Sheet2!$A$1:$B$11,2,FALSE)</f>
        <v>Summer Wear</v>
      </c>
      <c r="L791" s="5">
        <v>4</v>
      </c>
      <c r="M791" s="6">
        <v>200</v>
      </c>
      <c r="N791" s="6">
        <v>800</v>
      </c>
      <c r="O791" s="7">
        <v>0</v>
      </c>
      <c r="P791" s="8">
        <f t="shared" si="24"/>
        <v>0</v>
      </c>
      <c r="Q791" s="9">
        <f t="shared" si="25"/>
        <v>800</v>
      </c>
      <c r="R791" s="5">
        <v>16</v>
      </c>
      <c r="S791" s="5" t="s">
        <v>2033</v>
      </c>
      <c r="T791" s="5" t="s">
        <v>2035</v>
      </c>
    </row>
    <row r="792" spans="1:20" x14ac:dyDescent="0.25">
      <c r="A792" s="5" t="s">
        <v>805</v>
      </c>
      <c r="B792" s="10">
        <v>45411</v>
      </c>
      <c r="C792" s="5" t="s">
        <v>1016</v>
      </c>
      <c r="D792" s="11" t="s">
        <v>1808</v>
      </c>
      <c r="E792" s="5" t="s">
        <v>2840</v>
      </c>
      <c r="F792" s="5">
        <v>59</v>
      </c>
      <c r="G792" s="5" t="str" cm="1">
        <f t="array" ref="G792">_xlfn.IFS(F792&lt;12,"Child",F792&lt;18,"Teen",F792&lt;25,"Young",F792&lt;40,"Adult",F792&lt;60,"Middle Age",F792&gt;=60,"Old")</f>
        <v>Middle Age</v>
      </c>
      <c r="H792" s="5" t="s">
        <v>2043</v>
      </c>
      <c r="I792" s="5" t="s">
        <v>2015</v>
      </c>
      <c r="J792" s="5" t="s">
        <v>2016</v>
      </c>
      <c r="K792" s="5" t="str">
        <f>VLOOKUP(J792,Sheet2!$A$1:$B$11,2,FALSE)</f>
        <v>Winter Wear</v>
      </c>
      <c r="L792" s="5">
        <v>3</v>
      </c>
      <c r="M792" s="6">
        <v>978</v>
      </c>
      <c r="N792" s="6">
        <v>2934</v>
      </c>
      <c r="O792" s="7">
        <v>0</v>
      </c>
      <c r="P792" s="8">
        <f t="shared" si="24"/>
        <v>0</v>
      </c>
      <c r="Q792" s="9">
        <f t="shared" si="25"/>
        <v>2934</v>
      </c>
      <c r="R792" s="5">
        <v>58</v>
      </c>
      <c r="S792" s="5" t="s">
        <v>2034</v>
      </c>
      <c r="T792" s="5" t="s">
        <v>2035</v>
      </c>
    </row>
    <row r="793" spans="1:20" x14ac:dyDescent="0.25">
      <c r="A793" s="5" t="s">
        <v>806</v>
      </c>
      <c r="B793" s="10">
        <v>45604</v>
      </c>
      <c r="C793" s="5" t="s">
        <v>1014</v>
      </c>
      <c r="D793" s="11" t="s">
        <v>1809</v>
      </c>
      <c r="E793" s="5" t="s">
        <v>2841</v>
      </c>
      <c r="F793" s="5">
        <v>22</v>
      </c>
      <c r="G793" s="5" t="str" cm="1">
        <f t="array" ref="G793">_xlfn.IFS(F793&lt;12,"Child",F793&lt;18,"Teen",F793&lt;25,"Young",F793&lt;40,"Adult",F793&lt;60,"Middle Age",F793&gt;=60,"Old")</f>
        <v>Young</v>
      </c>
      <c r="H793" s="5" t="s">
        <v>2043</v>
      </c>
      <c r="I793" s="5" t="s">
        <v>2052</v>
      </c>
      <c r="J793" s="5" t="s">
        <v>2025</v>
      </c>
      <c r="K793" s="5" t="str">
        <f>VLOOKUP(J793,Sheet2!$A$1:$B$11,2,FALSE)</f>
        <v>Formal Wear</v>
      </c>
      <c r="L793" s="5">
        <v>4</v>
      </c>
      <c r="M793" s="6">
        <v>1166</v>
      </c>
      <c r="N793" s="6">
        <v>4664</v>
      </c>
      <c r="O793" s="7">
        <v>0.15</v>
      </c>
      <c r="P793" s="8">
        <f t="shared" si="24"/>
        <v>699.6</v>
      </c>
      <c r="Q793" s="9">
        <f t="shared" si="25"/>
        <v>3964.4</v>
      </c>
      <c r="R793" s="5">
        <v>79</v>
      </c>
      <c r="S793" s="5" t="s">
        <v>2032</v>
      </c>
      <c r="T793" s="5" t="s">
        <v>2036</v>
      </c>
    </row>
    <row r="794" spans="1:20" x14ac:dyDescent="0.25">
      <c r="A794" s="5" t="s">
        <v>807</v>
      </c>
      <c r="B794" s="10">
        <v>45430</v>
      </c>
      <c r="C794" s="5" t="s">
        <v>1020</v>
      </c>
      <c r="D794" s="11" t="s">
        <v>1810</v>
      </c>
      <c r="E794" s="5" t="s">
        <v>2842</v>
      </c>
      <c r="F794" s="5">
        <v>52</v>
      </c>
      <c r="G794" s="5" t="str" cm="1">
        <f t="array" ref="G794">_xlfn.IFS(F794&lt;12,"Child",F794&lt;18,"Teen",F794&lt;25,"Young",F794&lt;40,"Adult",F794&lt;60,"Middle Age",F794&gt;=60,"Old")</f>
        <v>Middle Age</v>
      </c>
      <c r="H794" s="5" t="s">
        <v>2044</v>
      </c>
      <c r="I794" s="5" t="s">
        <v>2053</v>
      </c>
      <c r="J794" s="5" t="s">
        <v>2020</v>
      </c>
      <c r="K794" s="5" t="str">
        <f>VLOOKUP(J794,Sheet2!$A$1:$B$11,2,FALSE)</f>
        <v>Summer Wear</v>
      </c>
      <c r="L794" s="5">
        <v>2</v>
      </c>
      <c r="M794" s="6">
        <v>609</v>
      </c>
      <c r="N794" s="6">
        <v>1218</v>
      </c>
      <c r="O794" s="7">
        <v>0.05</v>
      </c>
      <c r="P794" s="8">
        <f t="shared" si="24"/>
        <v>60.900000000000006</v>
      </c>
      <c r="Q794" s="9">
        <f t="shared" si="25"/>
        <v>1157.0999999999999</v>
      </c>
      <c r="R794" s="5">
        <v>23</v>
      </c>
      <c r="S794" s="5" t="s">
        <v>2032</v>
      </c>
      <c r="T794" s="5" t="s">
        <v>2037</v>
      </c>
    </row>
    <row r="795" spans="1:20" x14ac:dyDescent="0.25">
      <c r="A795" s="5" t="s">
        <v>808</v>
      </c>
      <c r="B795" s="10">
        <v>45394</v>
      </c>
      <c r="C795" s="5" t="s">
        <v>1014</v>
      </c>
      <c r="D795" s="11" t="s">
        <v>1811</v>
      </c>
      <c r="E795" s="5" t="s">
        <v>2843</v>
      </c>
      <c r="F795" s="5">
        <v>38</v>
      </c>
      <c r="G795" s="5" t="str" cm="1">
        <f t="array" ref="G795">_xlfn.IFS(F795&lt;12,"Child",F795&lt;18,"Teen",F795&lt;25,"Young",F795&lt;40,"Adult",F795&lt;60,"Middle Age",F795&gt;=60,"Old")</f>
        <v>Adult</v>
      </c>
      <c r="H795" s="5" t="s">
        <v>2044</v>
      </c>
      <c r="I795" s="5" t="s">
        <v>2045</v>
      </c>
      <c r="J795" s="5" t="s">
        <v>2025</v>
      </c>
      <c r="K795" s="5" t="str">
        <f>VLOOKUP(J795,Sheet2!$A$1:$B$11,2,FALSE)</f>
        <v>Formal Wear</v>
      </c>
      <c r="L795" s="5">
        <v>2</v>
      </c>
      <c r="M795" s="6">
        <v>1060</v>
      </c>
      <c r="N795" s="6">
        <v>2120</v>
      </c>
      <c r="O795" s="7">
        <v>0.05</v>
      </c>
      <c r="P795" s="8">
        <f t="shared" si="24"/>
        <v>106</v>
      </c>
      <c r="Q795" s="9">
        <f t="shared" si="25"/>
        <v>2014</v>
      </c>
      <c r="R795" s="5">
        <v>40</v>
      </c>
      <c r="S795" s="5" t="s">
        <v>2033</v>
      </c>
      <c r="T795" s="5" t="s">
        <v>2035</v>
      </c>
    </row>
    <row r="796" spans="1:20" x14ac:dyDescent="0.25">
      <c r="A796" s="5" t="s">
        <v>809</v>
      </c>
      <c r="B796" s="10">
        <v>45595</v>
      </c>
      <c r="C796" s="5" t="s">
        <v>1017</v>
      </c>
      <c r="D796" s="11" t="s">
        <v>1812</v>
      </c>
      <c r="E796" s="5" t="s">
        <v>2844</v>
      </c>
      <c r="F796" s="5">
        <v>40</v>
      </c>
      <c r="G796" s="5" t="str" cm="1">
        <f t="array" ref="G796">_xlfn.IFS(F796&lt;12,"Child",F796&lt;18,"Teen",F796&lt;25,"Young",F796&lt;40,"Adult",F796&lt;60,"Middle Age",F796&gt;=60,"Old")</f>
        <v>Middle Age</v>
      </c>
      <c r="H796" s="5" t="s">
        <v>2044</v>
      </c>
      <c r="I796" s="5" t="s">
        <v>2050</v>
      </c>
      <c r="J796" s="5" t="s">
        <v>2019</v>
      </c>
      <c r="K796" s="5" t="str">
        <f>VLOOKUP(J796,Sheet2!$A$1:$B$11,2,FALSE)</f>
        <v>Formal Wear</v>
      </c>
      <c r="L796" s="5">
        <v>2</v>
      </c>
      <c r="M796" s="6">
        <v>1156</v>
      </c>
      <c r="N796" s="6">
        <v>2312</v>
      </c>
      <c r="O796" s="7">
        <v>0.1</v>
      </c>
      <c r="P796" s="8">
        <f t="shared" si="24"/>
        <v>231.20000000000002</v>
      </c>
      <c r="Q796" s="9">
        <f t="shared" si="25"/>
        <v>2080.8000000000002</v>
      </c>
      <c r="R796" s="5">
        <v>41</v>
      </c>
      <c r="S796" s="5" t="s">
        <v>2033</v>
      </c>
      <c r="T796" s="5" t="s">
        <v>2036</v>
      </c>
    </row>
    <row r="797" spans="1:20" x14ac:dyDescent="0.25">
      <c r="A797" s="5" t="s">
        <v>810</v>
      </c>
      <c r="B797" s="10">
        <v>45541</v>
      </c>
      <c r="C797" s="5" t="s">
        <v>1014</v>
      </c>
      <c r="D797" s="11" t="s">
        <v>1813</v>
      </c>
      <c r="E797" s="5" t="s">
        <v>2845</v>
      </c>
      <c r="F797" s="5">
        <v>57</v>
      </c>
      <c r="G797" s="5" t="str" cm="1">
        <f t="array" ref="G797">_xlfn.IFS(F797&lt;12,"Child",F797&lt;18,"Teen",F797&lt;25,"Young",F797&lt;40,"Adult",F797&lt;60,"Middle Age",F797&gt;=60,"Old")</f>
        <v>Middle Age</v>
      </c>
      <c r="H797" s="5" t="s">
        <v>2044</v>
      </c>
      <c r="I797" s="5" t="s">
        <v>2050</v>
      </c>
      <c r="J797" s="5" t="s">
        <v>2018</v>
      </c>
      <c r="K797" s="5" t="str">
        <f>VLOOKUP(J797,Sheet2!$A$1:$B$11,2,FALSE)</f>
        <v>Sportswear</v>
      </c>
      <c r="L797" s="5">
        <v>1</v>
      </c>
      <c r="M797" s="6">
        <v>535</v>
      </c>
      <c r="N797" s="6">
        <v>535</v>
      </c>
      <c r="O797" s="7">
        <v>0.15</v>
      </c>
      <c r="P797" s="8">
        <f t="shared" si="24"/>
        <v>80.25</v>
      </c>
      <c r="Q797" s="9">
        <f t="shared" si="25"/>
        <v>454.75</v>
      </c>
      <c r="R797" s="5">
        <v>9</v>
      </c>
      <c r="S797" s="5" t="s">
        <v>2033</v>
      </c>
      <c r="T797" s="5" t="s">
        <v>2037</v>
      </c>
    </row>
    <row r="798" spans="1:20" x14ac:dyDescent="0.25">
      <c r="A798" s="5" t="s">
        <v>811</v>
      </c>
      <c r="B798" s="10">
        <v>45474</v>
      </c>
      <c r="C798" s="5" t="s">
        <v>1016</v>
      </c>
      <c r="D798" s="11" t="s">
        <v>1814</v>
      </c>
      <c r="E798" s="5" t="s">
        <v>2846</v>
      </c>
      <c r="F798" s="5">
        <v>33</v>
      </c>
      <c r="G798" s="5" t="str" cm="1">
        <f t="array" ref="G798">_xlfn.IFS(F798&lt;12,"Child",F798&lt;18,"Teen",F798&lt;25,"Young",F798&lt;40,"Adult",F798&lt;60,"Middle Age",F798&gt;=60,"Old")</f>
        <v>Adult</v>
      </c>
      <c r="H798" s="5" t="s">
        <v>2043</v>
      </c>
      <c r="I798" s="5" t="s">
        <v>2049</v>
      </c>
      <c r="J798" s="5" t="s">
        <v>2016</v>
      </c>
      <c r="K798" s="5" t="str">
        <f>VLOOKUP(J798,Sheet2!$A$1:$B$11,2,FALSE)</f>
        <v>Winter Wear</v>
      </c>
      <c r="L798" s="5">
        <v>4</v>
      </c>
      <c r="M798" s="6">
        <v>208</v>
      </c>
      <c r="N798" s="6">
        <v>832</v>
      </c>
      <c r="O798" s="7">
        <v>0.15</v>
      </c>
      <c r="P798" s="8">
        <f t="shared" si="24"/>
        <v>124.8</v>
      </c>
      <c r="Q798" s="9">
        <f t="shared" si="25"/>
        <v>707.2</v>
      </c>
      <c r="R798" s="5">
        <v>14</v>
      </c>
      <c r="S798" s="5" t="s">
        <v>2033</v>
      </c>
      <c r="T798" s="5" t="s">
        <v>2036</v>
      </c>
    </row>
    <row r="799" spans="1:20" x14ac:dyDescent="0.25">
      <c r="A799" s="5" t="s">
        <v>812</v>
      </c>
      <c r="B799" s="10">
        <v>45445</v>
      </c>
      <c r="C799" s="5" t="s">
        <v>1015</v>
      </c>
      <c r="D799" s="11" t="s">
        <v>1815</v>
      </c>
      <c r="E799" s="5" t="s">
        <v>2847</v>
      </c>
      <c r="F799" s="5">
        <v>32</v>
      </c>
      <c r="G799" s="5" t="str" cm="1">
        <f t="array" ref="G799">_xlfn.IFS(F799&lt;12,"Child",F799&lt;18,"Teen",F799&lt;25,"Young",F799&lt;40,"Adult",F799&lt;60,"Middle Age",F799&gt;=60,"Old")</f>
        <v>Adult</v>
      </c>
      <c r="H799" s="5" t="s">
        <v>2043</v>
      </c>
      <c r="I799" s="5" t="s">
        <v>2052</v>
      </c>
      <c r="J799" s="5" t="s">
        <v>2019</v>
      </c>
      <c r="K799" s="5" t="str">
        <f>VLOOKUP(J799,Sheet2!$A$1:$B$11,2,FALSE)</f>
        <v>Formal Wear</v>
      </c>
      <c r="L799" s="5">
        <v>4</v>
      </c>
      <c r="M799" s="6">
        <v>474</v>
      </c>
      <c r="N799" s="6">
        <v>1896</v>
      </c>
      <c r="O799" s="7">
        <v>0</v>
      </c>
      <c r="P799" s="8">
        <f t="shared" si="24"/>
        <v>0</v>
      </c>
      <c r="Q799" s="9">
        <f t="shared" si="25"/>
        <v>1896</v>
      </c>
      <c r="R799" s="5">
        <v>37</v>
      </c>
      <c r="S799" s="5" t="s">
        <v>2033</v>
      </c>
      <c r="T799" s="5" t="s">
        <v>2037</v>
      </c>
    </row>
    <row r="800" spans="1:20" x14ac:dyDescent="0.25">
      <c r="A800" s="5" t="s">
        <v>813</v>
      </c>
      <c r="B800" s="10">
        <v>45621</v>
      </c>
      <c r="C800" s="5" t="s">
        <v>1016</v>
      </c>
      <c r="D800" s="11" t="s">
        <v>1816</v>
      </c>
      <c r="E800" s="5" t="s">
        <v>2848</v>
      </c>
      <c r="F800" s="5">
        <v>51</v>
      </c>
      <c r="G800" s="5" t="str" cm="1">
        <f t="array" ref="G800">_xlfn.IFS(F800&lt;12,"Child",F800&lt;18,"Teen",F800&lt;25,"Young",F800&lt;40,"Adult",F800&lt;60,"Middle Age",F800&gt;=60,"Old")</f>
        <v>Middle Age</v>
      </c>
      <c r="H800" s="5" t="s">
        <v>2044</v>
      </c>
      <c r="I800" s="5" t="s">
        <v>2052</v>
      </c>
      <c r="J800" s="5" t="s">
        <v>2019</v>
      </c>
      <c r="K800" s="5" t="str">
        <f>VLOOKUP(J800,Sheet2!$A$1:$B$11,2,FALSE)</f>
        <v>Formal Wear</v>
      </c>
      <c r="L800" s="5">
        <v>3</v>
      </c>
      <c r="M800" s="6">
        <v>292</v>
      </c>
      <c r="N800" s="6">
        <v>876</v>
      </c>
      <c r="O800" s="7">
        <v>0.05</v>
      </c>
      <c r="P800" s="8">
        <f t="shared" si="24"/>
        <v>43.800000000000004</v>
      </c>
      <c r="Q800" s="9">
        <f t="shared" si="25"/>
        <v>832.2</v>
      </c>
      <c r="R800" s="5">
        <v>16</v>
      </c>
      <c r="S800" s="5" t="s">
        <v>2032</v>
      </c>
      <c r="T800" s="5" t="s">
        <v>2035</v>
      </c>
    </row>
    <row r="801" spans="1:20" x14ac:dyDescent="0.25">
      <c r="A801" s="5" t="s">
        <v>814</v>
      </c>
      <c r="B801" s="10">
        <v>45623</v>
      </c>
      <c r="C801" s="5" t="s">
        <v>1017</v>
      </c>
      <c r="D801" s="11" t="s">
        <v>1817</v>
      </c>
      <c r="E801" s="5" t="s">
        <v>2849</v>
      </c>
      <c r="F801" s="5">
        <v>42</v>
      </c>
      <c r="G801" s="5" t="str" cm="1">
        <f t="array" ref="G801">_xlfn.IFS(F801&lt;12,"Child",F801&lt;18,"Teen",F801&lt;25,"Young",F801&lt;40,"Adult",F801&lt;60,"Middle Age",F801&gt;=60,"Old")</f>
        <v>Middle Age</v>
      </c>
      <c r="H801" s="5" t="s">
        <v>2043</v>
      </c>
      <c r="I801" s="5" t="s">
        <v>2052</v>
      </c>
      <c r="J801" s="5" t="s">
        <v>2024</v>
      </c>
      <c r="K801" s="5" t="str">
        <f>VLOOKUP(J801,Sheet2!$A$1:$B$11,2,FALSE)</f>
        <v>Fashion Accessories</v>
      </c>
      <c r="L801" s="5">
        <v>2</v>
      </c>
      <c r="M801" s="6">
        <v>1164</v>
      </c>
      <c r="N801" s="6">
        <v>2328</v>
      </c>
      <c r="O801" s="7">
        <v>0</v>
      </c>
      <c r="P801" s="8">
        <f t="shared" si="24"/>
        <v>0</v>
      </c>
      <c r="Q801" s="9">
        <f t="shared" si="25"/>
        <v>2328</v>
      </c>
      <c r="R801" s="5">
        <v>46</v>
      </c>
      <c r="S801" s="5" t="s">
        <v>2032</v>
      </c>
      <c r="T801" s="5" t="s">
        <v>2035</v>
      </c>
    </row>
    <row r="802" spans="1:20" x14ac:dyDescent="0.25">
      <c r="A802" s="5" t="s">
        <v>815</v>
      </c>
      <c r="B802" s="10">
        <v>45494</v>
      </c>
      <c r="C802" s="5" t="s">
        <v>1015</v>
      </c>
      <c r="D802" s="11" t="s">
        <v>1818</v>
      </c>
      <c r="E802" s="5" t="s">
        <v>2850</v>
      </c>
      <c r="F802" s="5">
        <v>19</v>
      </c>
      <c r="G802" s="5" t="str" cm="1">
        <f t="array" ref="G802">_xlfn.IFS(F802&lt;12,"Child",F802&lt;18,"Teen",F802&lt;25,"Young",F802&lt;40,"Adult",F802&lt;60,"Middle Age",F802&gt;=60,"Old")</f>
        <v>Young</v>
      </c>
      <c r="H802" s="5" t="s">
        <v>2043</v>
      </c>
      <c r="I802" s="5" t="s">
        <v>2052</v>
      </c>
      <c r="J802" s="5" t="s">
        <v>2019</v>
      </c>
      <c r="K802" s="5" t="str">
        <f>VLOOKUP(J802,Sheet2!$A$1:$B$11,2,FALSE)</f>
        <v>Formal Wear</v>
      </c>
      <c r="L802" s="5">
        <v>4</v>
      </c>
      <c r="M802" s="6">
        <v>667</v>
      </c>
      <c r="N802" s="6">
        <v>2668</v>
      </c>
      <c r="O802" s="7">
        <v>0.2</v>
      </c>
      <c r="P802" s="8">
        <f t="shared" si="24"/>
        <v>533.6</v>
      </c>
      <c r="Q802" s="9">
        <f t="shared" si="25"/>
        <v>2134.4</v>
      </c>
      <c r="R802" s="5">
        <v>42</v>
      </c>
      <c r="S802" s="5" t="s">
        <v>2033</v>
      </c>
      <c r="T802" s="5" t="s">
        <v>2036</v>
      </c>
    </row>
    <row r="803" spans="1:20" x14ac:dyDescent="0.25">
      <c r="A803" s="5" t="s">
        <v>816</v>
      </c>
      <c r="B803" s="10">
        <v>45431</v>
      </c>
      <c r="C803" s="5" t="s">
        <v>1015</v>
      </c>
      <c r="D803" s="11" t="s">
        <v>1819</v>
      </c>
      <c r="E803" s="5" t="s">
        <v>2851</v>
      </c>
      <c r="F803" s="5">
        <v>31</v>
      </c>
      <c r="G803" s="5" t="str" cm="1">
        <f t="array" ref="G803">_xlfn.IFS(F803&lt;12,"Child",F803&lt;18,"Teen",F803&lt;25,"Young",F803&lt;40,"Adult",F803&lt;60,"Middle Age",F803&gt;=60,"Old")</f>
        <v>Adult</v>
      </c>
      <c r="H803" s="5" t="s">
        <v>2044</v>
      </c>
      <c r="I803" s="5" t="s">
        <v>2045</v>
      </c>
      <c r="J803" s="5" t="s">
        <v>2024</v>
      </c>
      <c r="K803" s="5" t="str">
        <f>VLOOKUP(J803,Sheet2!$A$1:$B$11,2,FALSE)</f>
        <v>Fashion Accessories</v>
      </c>
      <c r="L803" s="5">
        <v>5</v>
      </c>
      <c r="M803" s="6">
        <v>337</v>
      </c>
      <c r="N803" s="6">
        <v>1685</v>
      </c>
      <c r="O803" s="7">
        <v>0.15</v>
      </c>
      <c r="P803" s="8">
        <f t="shared" si="24"/>
        <v>252.75</v>
      </c>
      <c r="Q803" s="9">
        <f t="shared" si="25"/>
        <v>1432.25</v>
      </c>
      <c r="R803" s="5">
        <v>28</v>
      </c>
      <c r="S803" s="5" t="s">
        <v>2033</v>
      </c>
      <c r="T803" s="5" t="s">
        <v>2037</v>
      </c>
    </row>
    <row r="804" spans="1:20" x14ac:dyDescent="0.25">
      <c r="A804" s="5" t="s">
        <v>817</v>
      </c>
      <c r="B804" s="10">
        <v>45411</v>
      </c>
      <c r="C804" s="5" t="s">
        <v>1016</v>
      </c>
      <c r="D804" s="11" t="s">
        <v>1820</v>
      </c>
      <c r="E804" s="5" t="s">
        <v>2852</v>
      </c>
      <c r="F804" s="5">
        <v>18</v>
      </c>
      <c r="G804" s="5" t="str" cm="1">
        <f t="array" ref="G804">_xlfn.IFS(F804&lt;12,"Child",F804&lt;18,"Teen",F804&lt;25,"Young",F804&lt;40,"Adult",F804&lt;60,"Middle Age",F804&gt;=60,"Old")</f>
        <v>Young</v>
      </c>
      <c r="H804" s="5" t="s">
        <v>2043</v>
      </c>
      <c r="I804" s="5" t="s">
        <v>2051</v>
      </c>
      <c r="J804" s="5" t="s">
        <v>2019</v>
      </c>
      <c r="K804" s="5" t="str">
        <f>VLOOKUP(J804,Sheet2!$A$1:$B$11,2,FALSE)</f>
        <v>Formal Wear</v>
      </c>
      <c r="L804" s="5">
        <v>3</v>
      </c>
      <c r="M804" s="6">
        <v>847</v>
      </c>
      <c r="N804" s="6">
        <v>2541</v>
      </c>
      <c r="O804" s="7">
        <v>0.15</v>
      </c>
      <c r="P804" s="8">
        <f t="shared" si="24"/>
        <v>381.15</v>
      </c>
      <c r="Q804" s="9">
        <f t="shared" si="25"/>
        <v>2159.85</v>
      </c>
      <c r="R804" s="5">
        <v>43</v>
      </c>
      <c r="S804" s="5" t="s">
        <v>2034</v>
      </c>
      <c r="T804" s="5" t="s">
        <v>2036</v>
      </c>
    </row>
    <row r="805" spans="1:20" x14ac:dyDescent="0.25">
      <c r="A805" s="5" t="s">
        <v>818</v>
      </c>
      <c r="B805" s="10">
        <v>45356</v>
      </c>
      <c r="C805" s="5" t="s">
        <v>1019</v>
      </c>
      <c r="D805" s="11" t="s">
        <v>1821</v>
      </c>
      <c r="E805" s="5" t="s">
        <v>2853</v>
      </c>
      <c r="F805" s="5">
        <v>46</v>
      </c>
      <c r="G805" s="5" t="str" cm="1">
        <f t="array" ref="G805">_xlfn.IFS(F805&lt;12,"Child",F805&lt;18,"Teen",F805&lt;25,"Young",F805&lt;40,"Adult",F805&lt;60,"Middle Age",F805&gt;=60,"Old")</f>
        <v>Middle Age</v>
      </c>
      <c r="H805" s="5" t="s">
        <v>2043</v>
      </c>
      <c r="I805" s="5" t="s">
        <v>2053</v>
      </c>
      <c r="J805" s="5" t="s">
        <v>2020</v>
      </c>
      <c r="K805" s="5" t="str">
        <f>VLOOKUP(J805,Sheet2!$A$1:$B$11,2,FALSE)</f>
        <v>Summer Wear</v>
      </c>
      <c r="L805" s="5">
        <v>5</v>
      </c>
      <c r="M805" s="6">
        <v>636</v>
      </c>
      <c r="N805" s="6">
        <v>3180</v>
      </c>
      <c r="O805" s="7">
        <v>0.2</v>
      </c>
      <c r="P805" s="8">
        <f t="shared" si="24"/>
        <v>636</v>
      </c>
      <c r="Q805" s="9">
        <f t="shared" si="25"/>
        <v>2544</v>
      </c>
      <c r="R805" s="5">
        <v>50</v>
      </c>
      <c r="S805" s="5" t="s">
        <v>2033</v>
      </c>
      <c r="T805" s="5" t="s">
        <v>2036</v>
      </c>
    </row>
    <row r="806" spans="1:20" x14ac:dyDescent="0.25">
      <c r="A806" s="5" t="s">
        <v>819</v>
      </c>
      <c r="B806" s="10">
        <v>45601</v>
      </c>
      <c r="C806" s="5" t="s">
        <v>1019</v>
      </c>
      <c r="D806" s="11" t="s">
        <v>1822</v>
      </c>
      <c r="E806" s="5" t="s">
        <v>2854</v>
      </c>
      <c r="F806" s="5">
        <v>30</v>
      </c>
      <c r="G806" s="5" t="str" cm="1">
        <f t="array" ref="G806">_xlfn.IFS(F806&lt;12,"Child",F806&lt;18,"Teen",F806&lt;25,"Young",F806&lt;40,"Adult",F806&lt;60,"Middle Age",F806&gt;=60,"Old")</f>
        <v>Adult</v>
      </c>
      <c r="H806" s="5" t="s">
        <v>2044</v>
      </c>
      <c r="I806" s="5" t="s">
        <v>2046</v>
      </c>
      <c r="J806" s="5" t="s">
        <v>2016</v>
      </c>
      <c r="K806" s="5" t="str">
        <f>VLOOKUP(J806,Sheet2!$A$1:$B$11,2,FALSE)</f>
        <v>Winter Wear</v>
      </c>
      <c r="L806" s="5">
        <v>5</v>
      </c>
      <c r="M806" s="6">
        <v>1145</v>
      </c>
      <c r="N806" s="6">
        <v>5725</v>
      </c>
      <c r="O806" s="7">
        <v>0</v>
      </c>
      <c r="P806" s="8">
        <f t="shared" si="24"/>
        <v>0</v>
      </c>
      <c r="Q806" s="9">
        <f t="shared" si="25"/>
        <v>5725</v>
      </c>
      <c r="R806" s="5">
        <v>114</v>
      </c>
      <c r="S806" s="5" t="s">
        <v>2033</v>
      </c>
      <c r="T806" s="5" t="s">
        <v>2037</v>
      </c>
    </row>
    <row r="807" spans="1:20" x14ac:dyDescent="0.25">
      <c r="A807" s="5" t="s">
        <v>820</v>
      </c>
      <c r="B807" s="10">
        <v>45572</v>
      </c>
      <c r="C807" s="5" t="s">
        <v>1016</v>
      </c>
      <c r="D807" s="11" t="s">
        <v>1823</v>
      </c>
      <c r="E807" s="5" t="s">
        <v>2855</v>
      </c>
      <c r="F807" s="5">
        <v>50</v>
      </c>
      <c r="G807" s="5" t="str" cm="1">
        <f t="array" ref="G807">_xlfn.IFS(F807&lt;12,"Child",F807&lt;18,"Teen",F807&lt;25,"Young",F807&lt;40,"Adult",F807&lt;60,"Middle Age",F807&gt;=60,"Old")</f>
        <v>Middle Age</v>
      </c>
      <c r="H807" s="5" t="s">
        <v>2044</v>
      </c>
      <c r="I807" s="5" t="s">
        <v>2050</v>
      </c>
      <c r="J807" s="5" t="s">
        <v>2025</v>
      </c>
      <c r="K807" s="5" t="str">
        <f>VLOOKUP(J807,Sheet2!$A$1:$B$11,2,FALSE)</f>
        <v>Formal Wear</v>
      </c>
      <c r="L807" s="5">
        <v>1</v>
      </c>
      <c r="M807" s="6">
        <v>915</v>
      </c>
      <c r="N807" s="6">
        <v>915</v>
      </c>
      <c r="O807" s="7">
        <v>0.1</v>
      </c>
      <c r="P807" s="8">
        <f t="shared" si="24"/>
        <v>91.5</v>
      </c>
      <c r="Q807" s="9">
        <f t="shared" si="25"/>
        <v>823.5</v>
      </c>
      <c r="R807" s="5">
        <v>16</v>
      </c>
      <c r="S807" s="5" t="s">
        <v>2033</v>
      </c>
      <c r="T807" s="5" t="s">
        <v>2037</v>
      </c>
    </row>
    <row r="808" spans="1:20" x14ac:dyDescent="0.25">
      <c r="A808" s="5" t="s">
        <v>821</v>
      </c>
      <c r="B808" s="10">
        <v>45554</v>
      </c>
      <c r="C808" s="5" t="s">
        <v>1018</v>
      </c>
      <c r="D808" s="11" t="s">
        <v>1824</v>
      </c>
      <c r="E808" s="5" t="s">
        <v>2856</v>
      </c>
      <c r="F808" s="5">
        <v>19</v>
      </c>
      <c r="G808" s="5" t="str" cm="1">
        <f t="array" ref="G808">_xlfn.IFS(F808&lt;12,"Child",F808&lt;18,"Teen",F808&lt;25,"Young",F808&lt;40,"Adult",F808&lt;60,"Middle Age",F808&gt;=60,"Old")</f>
        <v>Young</v>
      </c>
      <c r="H808" s="5" t="s">
        <v>2044</v>
      </c>
      <c r="I808" s="5" t="s">
        <v>2049</v>
      </c>
      <c r="J808" s="5" t="s">
        <v>2017</v>
      </c>
      <c r="K808" s="5" t="str">
        <f>VLOOKUP(J808,Sheet2!$A$1:$B$11,2,FALSE)</f>
        <v>Casual Wear</v>
      </c>
      <c r="L808" s="5">
        <v>5</v>
      </c>
      <c r="M808" s="6">
        <v>1153</v>
      </c>
      <c r="N808" s="6">
        <v>5765</v>
      </c>
      <c r="O808" s="7">
        <v>0.1</v>
      </c>
      <c r="P808" s="8">
        <f t="shared" si="24"/>
        <v>576.5</v>
      </c>
      <c r="Q808" s="9">
        <f t="shared" si="25"/>
        <v>5188.5</v>
      </c>
      <c r="R808" s="5">
        <v>103</v>
      </c>
      <c r="S808" s="5" t="s">
        <v>2032</v>
      </c>
      <c r="T808" s="5" t="s">
        <v>2036</v>
      </c>
    </row>
    <row r="809" spans="1:20" x14ac:dyDescent="0.25">
      <c r="A809" s="5" t="s">
        <v>822</v>
      </c>
      <c r="B809" s="10">
        <v>45406</v>
      </c>
      <c r="C809" s="5" t="s">
        <v>1017</v>
      </c>
      <c r="D809" s="11" t="s">
        <v>1825</v>
      </c>
      <c r="E809" s="5" t="s">
        <v>2857</v>
      </c>
      <c r="F809" s="5">
        <v>18</v>
      </c>
      <c r="G809" s="5" t="str" cm="1">
        <f t="array" ref="G809">_xlfn.IFS(F809&lt;12,"Child",F809&lt;18,"Teen",F809&lt;25,"Young",F809&lt;40,"Adult",F809&lt;60,"Middle Age",F809&gt;=60,"Old")</f>
        <v>Young</v>
      </c>
      <c r="H809" s="5" t="s">
        <v>2044</v>
      </c>
      <c r="I809" s="5" t="s">
        <v>2051</v>
      </c>
      <c r="J809" s="5" t="s">
        <v>2019</v>
      </c>
      <c r="K809" s="5" t="str">
        <f>VLOOKUP(J809,Sheet2!$A$1:$B$11,2,FALSE)</f>
        <v>Formal Wear</v>
      </c>
      <c r="L809" s="5">
        <v>3</v>
      </c>
      <c r="M809" s="6">
        <v>459</v>
      </c>
      <c r="N809" s="6">
        <v>1377</v>
      </c>
      <c r="O809" s="7">
        <v>0</v>
      </c>
      <c r="P809" s="8">
        <f t="shared" si="24"/>
        <v>0</v>
      </c>
      <c r="Q809" s="9">
        <f t="shared" si="25"/>
        <v>1377</v>
      </c>
      <c r="R809" s="5">
        <v>27</v>
      </c>
      <c r="S809" s="5" t="s">
        <v>2034</v>
      </c>
      <c r="T809" s="5" t="s">
        <v>2035</v>
      </c>
    </row>
    <row r="810" spans="1:20" x14ac:dyDescent="0.25">
      <c r="A810" s="5" t="s">
        <v>823</v>
      </c>
      <c r="B810" s="10">
        <v>45475</v>
      </c>
      <c r="C810" s="5" t="s">
        <v>1019</v>
      </c>
      <c r="D810" s="11" t="s">
        <v>1826</v>
      </c>
      <c r="E810" s="5" t="s">
        <v>2858</v>
      </c>
      <c r="F810" s="5">
        <v>27</v>
      </c>
      <c r="G810" s="5" t="str" cm="1">
        <f t="array" ref="G810">_xlfn.IFS(F810&lt;12,"Child",F810&lt;18,"Teen",F810&lt;25,"Young",F810&lt;40,"Adult",F810&lt;60,"Middle Age",F810&gt;=60,"Old")</f>
        <v>Adult</v>
      </c>
      <c r="H810" s="5" t="s">
        <v>2044</v>
      </c>
      <c r="I810" s="5" t="s">
        <v>2052</v>
      </c>
      <c r="J810" s="5" t="s">
        <v>2016</v>
      </c>
      <c r="K810" s="5" t="str">
        <f>VLOOKUP(J810,Sheet2!$A$1:$B$11,2,FALSE)</f>
        <v>Winter Wear</v>
      </c>
      <c r="L810" s="5">
        <v>3</v>
      </c>
      <c r="M810" s="6">
        <v>632</v>
      </c>
      <c r="N810" s="6">
        <v>1896</v>
      </c>
      <c r="O810" s="7">
        <v>0.1</v>
      </c>
      <c r="P810" s="8">
        <f t="shared" si="24"/>
        <v>189.60000000000002</v>
      </c>
      <c r="Q810" s="9">
        <f t="shared" si="25"/>
        <v>1706.4</v>
      </c>
      <c r="R810" s="5">
        <v>34</v>
      </c>
      <c r="S810" s="5" t="s">
        <v>2032</v>
      </c>
      <c r="T810" s="5" t="s">
        <v>2036</v>
      </c>
    </row>
    <row r="811" spans="1:20" x14ac:dyDescent="0.25">
      <c r="A811" s="5" t="s">
        <v>824</v>
      </c>
      <c r="B811" s="10">
        <v>45570</v>
      </c>
      <c r="C811" s="5" t="s">
        <v>1020</v>
      </c>
      <c r="D811" s="11" t="s">
        <v>1827</v>
      </c>
      <c r="E811" s="5" t="s">
        <v>2859</v>
      </c>
      <c r="F811" s="5">
        <v>59</v>
      </c>
      <c r="G811" s="5" t="str" cm="1">
        <f t="array" ref="G811">_xlfn.IFS(F811&lt;12,"Child",F811&lt;18,"Teen",F811&lt;25,"Young",F811&lt;40,"Adult",F811&lt;60,"Middle Age",F811&gt;=60,"Old")</f>
        <v>Middle Age</v>
      </c>
      <c r="H811" s="5" t="s">
        <v>2044</v>
      </c>
      <c r="I811" s="5" t="s">
        <v>2045</v>
      </c>
      <c r="J811" s="5" t="s">
        <v>2020</v>
      </c>
      <c r="K811" s="5" t="str">
        <f>VLOOKUP(J811,Sheet2!$A$1:$B$11,2,FALSE)</f>
        <v>Summer Wear</v>
      </c>
      <c r="L811" s="5">
        <v>5</v>
      </c>
      <c r="M811" s="6">
        <v>958</v>
      </c>
      <c r="N811" s="6">
        <v>4790</v>
      </c>
      <c r="O811" s="7">
        <v>0.05</v>
      </c>
      <c r="P811" s="8">
        <f t="shared" si="24"/>
        <v>239.5</v>
      </c>
      <c r="Q811" s="9">
        <f t="shared" si="25"/>
        <v>4550.5</v>
      </c>
      <c r="R811" s="5">
        <v>91</v>
      </c>
      <c r="S811" s="5" t="s">
        <v>2034</v>
      </c>
      <c r="T811" s="5" t="s">
        <v>2037</v>
      </c>
    </row>
    <row r="812" spans="1:20" x14ac:dyDescent="0.25">
      <c r="A812" s="5" t="s">
        <v>825</v>
      </c>
      <c r="B812" s="10">
        <v>45678</v>
      </c>
      <c r="C812" s="5" t="s">
        <v>1019</v>
      </c>
      <c r="D812" s="11" t="s">
        <v>1828</v>
      </c>
      <c r="E812" s="5" t="s">
        <v>2860</v>
      </c>
      <c r="F812" s="5">
        <v>25</v>
      </c>
      <c r="G812" s="5" t="str" cm="1">
        <f t="array" ref="G812">_xlfn.IFS(F812&lt;12,"Child",F812&lt;18,"Teen",F812&lt;25,"Young",F812&lt;40,"Adult",F812&lt;60,"Middle Age",F812&gt;=60,"Old")</f>
        <v>Adult</v>
      </c>
      <c r="H812" s="5" t="s">
        <v>2043</v>
      </c>
      <c r="I812" s="5" t="s">
        <v>2051</v>
      </c>
      <c r="J812" s="5" t="s">
        <v>2019</v>
      </c>
      <c r="K812" s="5" t="str">
        <f>VLOOKUP(J812,Sheet2!$A$1:$B$11,2,FALSE)</f>
        <v>Formal Wear</v>
      </c>
      <c r="L812" s="5">
        <v>5</v>
      </c>
      <c r="M812" s="6">
        <v>899</v>
      </c>
      <c r="N812" s="6">
        <v>4495</v>
      </c>
      <c r="O812" s="7">
        <v>0.2</v>
      </c>
      <c r="P812" s="8">
        <f t="shared" si="24"/>
        <v>899</v>
      </c>
      <c r="Q812" s="9">
        <f t="shared" si="25"/>
        <v>3596</v>
      </c>
      <c r="R812" s="5">
        <v>71</v>
      </c>
      <c r="S812" s="5" t="s">
        <v>2032</v>
      </c>
      <c r="T812" s="5" t="s">
        <v>2035</v>
      </c>
    </row>
    <row r="813" spans="1:20" x14ac:dyDescent="0.25">
      <c r="A813" s="5" t="s">
        <v>826</v>
      </c>
      <c r="B813" s="10">
        <v>45643</v>
      </c>
      <c r="C813" s="5" t="s">
        <v>1019</v>
      </c>
      <c r="D813" s="11" t="s">
        <v>1829</v>
      </c>
      <c r="E813" s="5" t="s">
        <v>2861</v>
      </c>
      <c r="F813" s="5">
        <v>24</v>
      </c>
      <c r="G813" s="5" t="str" cm="1">
        <f t="array" ref="G813">_xlfn.IFS(F813&lt;12,"Child",F813&lt;18,"Teen",F813&lt;25,"Young",F813&lt;40,"Adult",F813&lt;60,"Middle Age",F813&gt;=60,"Old")</f>
        <v>Young</v>
      </c>
      <c r="H813" s="5" t="s">
        <v>2044</v>
      </c>
      <c r="I813" s="5" t="s">
        <v>2047</v>
      </c>
      <c r="J813" s="5" t="s">
        <v>2017</v>
      </c>
      <c r="K813" s="5" t="str">
        <f>VLOOKUP(J813,Sheet2!$A$1:$B$11,2,FALSE)</f>
        <v>Casual Wear</v>
      </c>
      <c r="L813" s="5">
        <v>1</v>
      </c>
      <c r="M813" s="6">
        <v>245</v>
      </c>
      <c r="N813" s="6">
        <v>245</v>
      </c>
      <c r="O813" s="7">
        <v>0.2</v>
      </c>
      <c r="P813" s="8">
        <f t="shared" si="24"/>
        <v>49</v>
      </c>
      <c r="Q813" s="9">
        <f t="shared" si="25"/>
        <v>196</v>
      </c>
      <c r="R813" s="5">
        <v>3</v>
      </c>
      <c r="S813" s="5" t="s">
        <v>2032</v>
      </c>
      <c r="T813" s="5" t="s">
        <v>2036</v>
      </c>
    </row>
    <row r="814" spans="1:20" x14ac:dyDescent="0.25">
      <c r="A814" s="5" t="s">
        <v>827</v>
      </c>
      <c r="B814" s="10">
        <v>45628</v>
      </c>
      <c r="C814" s="5" t="s">
        <v>1016</v>
      </c>
      <c r="D814" s="11" t="s">
        <v>1830</v>
      </c>
      <c r="E814" s="5" t="s">
        <v>2862</v>
      </c>
      <c r="F814" s="5">
        <v>43</v>
      </c>
      <c r="G814" s="5" t="str" cm="1">
        <f t="array" ref="G814">_xlfn.IFS(F814&lt;12,"Child",F814&lt;18,"Teen",F814&lt;25,"Young",F814&lt;40,"Adult",F814&lt;60,"Middle Age",F814&gt;=60,"Old")</f>
        <v>Middle Age</v>
      </c>
      <c r="H814" s="5" t="s">
        <v>2044</v>
      </c>
      <c r="I814" s="5" t="s">
        <v>2047</v>
      </c>
      <c r="J814" s="5" t="s">
        <v>2025</v>
      </c>
      <c r="K814" s="5" t="str">
        <f>VLOOKUP(J814,Sheet2!$A$1:$B$11,2,FALSE)</f>
        <v>Formal Wear</v>
      </c>
      <c r="L814" s="5">
        <v>4</v>
      </c>
      <c r="M814" s="6">
        <v>625</v>
      </c>
      <c r="N814" s="6">
        <v>2500</v>
      </c>
      <c r="O814" s="7">
        <v>0</v>
      </c>
      <c r="P814" s="8">
        <f t="shared" si="24"/>
        <v>0</v>
      </c>
      <c r="Q814" s="9">
        <f t="shared" si="25"/>
        <v>2500</v>
      </c>
      <c r="R814" s="5">
        <v>50</v>
      </c>
      <c r="S814" s="5" t="s">
        <v>2034</v>
      </c>
      <c r="T814" s="5" t="s">
        <v>2037</v>
      </c>
    </row>
    <row r="815" spans="1:20" x14ac:dyDescent="0.25">
      <c r="A815" s="5" t="s">
        <v>828</v>
      </c>
      <c r="B815" s="10">
        <v>45477</v>
      </c>
      <c r="C815" s="5" t="s">
        <v>1018</v>
      </c>
      <c r="D815" s="11" t="s">
        <v>1831</v>
      </c>
      <c r="E815" s="5" t="s">
        <v>2863</v>
      </c>
      <c r="F815" s="5">
        <v>38</v>
      </c>
      <c r="G815" s="5" t="str" cm="1">
        <f t="array" ref="G815">_xlfn.IFS(F815&lt;12,"Child",F815&lt;18,"Teen",F815&lt;25,"Young",F815&lt;40,"Adult",F815&lt;60,"Middle Age",F815&gt;=60,"Old")</f>
        <v>Adult</v>
      </c>
      <c r="H815" s="5" t="s">
        <v>2044</v>
      </c>
      <c r="I815" s="5" t="s">
        <v>2048</v>
      </c>
      <c r="J815" s="5" t="s">
        <v>2022</v>
      </c>
      <c r="K815" s="5" t="str">
        <f>VLOOKUP(J815,Sheet2!$A$1:$B$11,2,FALSE)</f>
        <v>Sportswear</v>
      </c>
      <c r="L815" s="5">
        <v>1</v>
      </c>
      <c r="M815" s="6">
        <v>777</v>
      </c>
      <c r="N815" s="6">
        <v>777</v>
      </c>
      <c r="O815" s="7">
        <v>0.05</v>
      </c>
      <c r="P815" s="8">
        <f t="shared" si="24"/>
        <v>38.85</v>
      </c>
      <c r="Q815" s="9">
        <f t="shared" si="25"/>
        <v>738.15</v>
      </c>
      <c r="R815" s="5">
        <v>14</v>
      </c>
      <c r="S815" s="5" t="s">
        <v>2034</v>
      </c>
      <c r="T815" s="5" t="s">
        <v>2036</v>
      </c>
    </row>
    <row r="816" spans="1:20" x14ac:dyDescent="0.25">
      <c r="A816" s="5" t="s">
        <v>829</v>
      </c>
      <c r="B816" s="10">
        <v>45482</v>
      </c>
      <c r="C816" s="5" t="s">
        <v>1019</v>
      </c>
      <c r="D816" s="11" t="s">
        <v>1832</v>
      </c>
      <c r="E816" s="5" t="s">
        <v>2864</v>
      </c>
      <c r="F816" s="5">
        <v>53</v>
      </c>
      <c r="G816" s="5" t="str" cm="1">
        <f t="array" ref="G816">_xlfn.IFS(F816&lt;12,"Child",F816&lt;18,"Teen",F816&lt;25,"Young",F816&lt;40,"Adult",F816&lt;60,"Middle Age",F816&gt;=60,"Old")</f>
        <v>Middle Age</v>
      </c>
      <c r="H816" s="5" t="s">
        <v>2043</v>
      </c>
      <c r="I816" s="5" t="s">
        <v>2050</v>
      </c>
      <c r="J816" s="5" t="s">
        <v>2018</v>
      </c>
      <c r="K816" s="5" t="str">
        <f>VLOOKUP(J816,Sheet2!$A$1:$B$11,2,FALSE)</f>
        <v>Sportswear</v>
      </c>
      <c r="L816" s="5">
        <v>3</v>
      </c>
      <c r="M816" s="6">
        <v>529</v>
      </c>
      <c r="N816" s="6">
        <v>1587</v>
      </c>
      <c r="O816" s="7">
        <v>0.1</v>
      </c>
      <c r="P816" s="8">
        <f t="shared" si="24"/>
        <v>158.70000000000002</v>
      </c>
      <c r="Q816" s="9">
        <f t="shared" si="25"/>
        <v>1428.3</v>
      </c>
      <c r="R816" s="5">
        <v>28</v>
      </c>
      <c r="S816" s="5" t="s">
        <v>2033</v>
      </c>
      <c r="T816" s="5" t="s">
        <v>2036</v>
      </c>
    </row>
    <row r="817" spans="1:20" x14ac:dyDescent="0.25">
      <c r="A817" s="5" t="s">
        <v>830</v>
      </c>
      <c r="B817" s="10">
        <v>45679</v>
      </c>
      <c r="C817" s="5" t="s">
        <v>1017</v>
      </c>
      <c r="D817" s="11" t="s">
        <v>1833</v>
      </c>
      <c r="E817" s="5" t="s">
        <v>2865</v>
      </c>
      <c r="F817" s="5">
        <v>24</v>
      </c>
      <c r="G817" s="5" t="str" cm="1">
        <f t="array" ref="G817">_xlfn.IFS(F817&lt;12,"Child",F817&lt;18,"Teen",F817&lt;25,"Young",F817&lt;40,"Adult",F817&lt;60,"Middle Age",F817&gt;=60,"Old")</f>
        <v>Young</v>
      </c>
      <c r="H817" s="5" t="s">
        <v>2043</v>
      </c>
      <c r="I817" s="5" t="s">
        <v>2053</v>
      </c>
      <c r="J817" s="5" t="s">
        <v>2019</v>
      </c>
      <c r="K817" s="5" t="str">
        <f>VLOOKUP(J817,Sheet2!$A$1:$B$11,2,FALSE)</f>
        <v>Formal Wear</v>
      </c>
      <c r="L817" s="5">
        <v>5</v>
      </c>
      <c r="M817" s="6">
        <v>915</v>
      </c>
      <c r="N817" s="6">
        <v>4575</v>
      </c>
      <c r="O817" s="7">
        <v>0</v>
      </c>
      <c r="P817" s="8">
        <f t="shared" si="24"/>
        <v>0</v>
      </c>
      <c r="Q817" s="9">
        <f t="shared" si="25"/>
        <v>4575</v>
      </c>
      <c r="R817" s="5">
        <v>91</v>
      </c>
      <c r="S817" s="5" t="s">
        <v>2033</v>
      </c>
      <c r="T817" s="5" t="s">
        <v>2036</v>
      </c>
    </row>
    <row r="818" spans="1:20" x14ac:dyDescent="0.25">
      <c r="A818" s="5" t="s">
        <v>831</v>
      </c>
      <c r="B818" s="10">
        <v>45565</v>
      </c>
      <c r="C818" s="5" t="s">
        <v>1016</v>
      </c>
      <c r="D818" s="11" t="s">
        <v>1834</v>
      </c>
      <c r="E818" s="5" t="s">
        <v>2866</v>
      </c>
      <c r="F818" s="5">
        <v>46</v>
      </c>
      <c r="G818" s="5" t="str" cm="1">
        <f t="array" ref="G818">_xlfn.IFS(F818&lt;12,"Child",F818&lt;18,"Teen",F818&lt;25,"Young",F818&lt;40,"Adult",F818&lt;60,"Middle Age",F818&gt;=60,"Old")</f>
        <v>Middle Age</v>
      </c>
      <c r="H818" s="5" t="s">
        <v>2044</v>
      </c>
      <c r="I818" s="5" t="s">
        <v>2052</v>
      </c>
      <c r="J818" s="5" t="s">
        <v>2019</v>
      </c>
      <c r="K818" s="5" t="str">
        <f>VLOOKUP(J818,Sheet2!$A$1:$B$11,2,FALSE)</f>
        <v>Formal Wear</v>
      </c>
      <c r="L818" s="5">
        <v>3</v>
      </c>
      <c r="M818" s="6">
        <v>1074</v>
      </c>
      <c r="N818" s="6">
        <v>3222</v>
      </c>
      <c r="O818" s="7">
        <v>0.2</v>
      </c>
      <c r="P818" s="8">
        <f t="shared" si="24"/>
        <v>644.40000000000009</v>
      </c>
      <c r="Q818" s="9">
        <f t="shared" si="25"/>
        <v>2577.6</v>
      </c>
      <c r="R818" s="5">
        <v>51</v>
      </c>
      <c r="S818" s="5" t="s">
        <v>2032</v>
      </c>
      <c r="T818" s="5" t="s">
        <v>2035</v>
      </c>
    </row>
    <row r="819" spans="1:20" x14ac:dyDescent="0.25">
      <c r="A819" s="5" t="s">
        <v>832</v>
      </c>
      <c r="B819" s="10">
        <v>45553</v>
      </c>
      <c r="C819" s="5" t="s">
        <v>1017</v>
      </c>
      <c r="D819" s="11" t="s">
        <v>1835</v>
      </c>
      <c r="E819" s="5" t="s">
        <v>2867</v>
      </c>
      <c r="F819" s="5">
        <v>18</v>
      </c>
      <c r="G819" s="5" t="str" cm="1">
        <f t="array" ref="G819">_xlfn.IFS(F819&lt;12,"Child",F819&lt;18,"Teen",F819&lt;25,"Young",F819&lt;40,"Adult",F819&lt;60,"Middle Age",F819&gt;=60,"Old")</f>
        <v>Young</v>
      </c>
      <c r="H819" s="5" t="s">
        <v>2043</v>
      </c>
      <c r="I819" s="5" t="s">
        <v>2053</v>
      </c>
      <c r="J819" s="5" t="s">
        <v>2016</v>
      </c>
      <c r="K819" s="5" t="str">
        <f>VLOOKUP(J819,Sheet2!$A$1:$B$11,2,FALSE)</f>
        <v>Winter Wear</v>
      </c>
      <c r="L819" s="5">
        <v>2</v>
      </c>
      <c r="M819" s="6">
        <v>396</v>
      </c>
      <c r="N819" s="6">
        <v>792</v>
      </c>
      <c r="O819" s="7">
        <v>0.2</v>
      </c>
      <c r="P819" s="8">
        <f t="shared" si="24"/>
        <v>158.4</v>
      </c>
      <c r="Q819" s="9">
        <f t="shared" si="25"/>
        <v>633.6</v>
      </c>
      <c r="R819" s="5">
        <v>12</v>
      </c>
      <c r="S819" s="5" t="s">
        <v>2033</v>
      </c>
      <c r="T819" s="5" t="s">
        <v>2037</v>
      </c>
    </row>
    <row r="820" spans="1:20" x14ac:dyDescent="0.25">
      <c r="A820" s="5" t="s">
        <v>833</v>
      </c>
      <c r="B820" s="10">
        <v>45614</v>
      </c>
      <c r="C820" s="5" t="s">
        <v>1016</v>
      </c>
      <c r="D820" s="11" t="s">
        <v>1836</v>
      </c>
      <c r="E820" s="5" t="s">
        <v>2868</v>
      </c>
      <c r="F820" s="5">
        <v>37</v>
      </c>
      <c r="G820" s="5" t="str" cm="1">
        <f t="array" ref="G820">_xlfn.IFS(F820&lt;12,"Child",F820&lt;18,"Teen",F820&lt;25,"Young",F820&lt;40,"Adult",F820&lt;60,"Middle Age",F820&gt;=60,"Old")</f>
        <v>Adult</v>
      </c>
      <c r="H820" s="5" t="s">
        <v>2043</v>
      </c>
      <c r="I820" s="5" t="s">
        <v>2049</v>
      </c>
      <c r="J820" s="5" t="s">
        <v>2021</v>
      </c>
      <c r="K820" s="5" t="str">
        <f>VLOOKUP(J820,Sheet2!$A$1:$B$11,2,FALSE)</f>
        <v>Casual Wear</v>
      </c>
      <c r="L820" s="5">
        <v>5</v>
      </c>
      <c r="M820" s="6">
        <v>965</v>
      </c>
      <c r="N820" s="6">
        <v>4825</v>
      </c>
      <c r="O820" s="7">
        <v>0.2</v>
      </c>
      <c r="P820" s="8">
        <f t="shared" si="24"/>
        <v>965</v>
      </c>
      <c r="Q820" s="9">
        <f t="shared" si="25"/>
        <v>3860</v>
      </c>
      <c r="R820" s="5">
        <v>77</v>
      </c>
      <c r="S820" s="5" t="s">
        <v>2032</v>
      </c>
      <c r="T820" s="5" t="s">
        <v>2037</v>
      </c>
    </row>
    <row r="821" spans="1:20" x14ac:dyDescent="0.25">
      <c r="A821" s="5" t="s">
        <v>834</v>
      </c>
      <c r="B821" s="10">
        <v>45682</v>
      </c>
      <c r="C821" s="5" t="s">
        <v>1020</v>
      </c>
      <c r="D821" s="11" t="s">
        <v>1837</v>
      </c>
      <c r="E821" s="5" t="s">
        <v>2869</v>
      </c>
      <c r="F821" s="5">
        <v>42</v>
      </c>
      <c r="G821" s="5" t="str" cm="1">
        <f t="array" ref="G821">_xlfn.IFS(F821&lt;12,"Child",F821&lt;18,"Teen",F821&lt;25,"Young",F821&lt;40,"Adult",F821&lt;60,"Middle Age",F821&gt;=60,"Old")</f>
        <v>Middle Age</v>
      </c>
      <c r="H821" s="5" t="s">
        <v>2044</v>
      </c>
      <c r="I821" s="5" t="s">
        <v>2048</v>
      </c>
      <c r="J821" s="5" t="s">
        <v>2018</v>
      </c>
      <c r="K821" s="5" t="str">
        <f>VLOOKUP(J821,Sheet2!$A$1:$B$11,2,FALSE)</f>
        <v>Sportswear</v>
      </c>
      <c r="L821" s="5">
        <v>1</v>
      </c>
      <c r="M821" s="6">
        <v>702</v>
      </c>
      <c r="N821" s="6">
        <v>702</v>
      </c>
      <c r="O821" s="7">
        <v>0.05</v>
      </c>
      <c r="P821" s="8">
        <f t="shared" si="24"/>
        <v>35.1</v>
      </c>
      <c r="Q821" s="9">
        <f t="shared" si="25"/>
        <v>666.9</v>
      </c>
      <c r="R821" s="5">
        <v>13</v>
      </c>
      <c r="S821" s="5" t="s">
        <v>2032</v>
      </c>
      <c r="T821" s="5" t="s">
        <v>2036</v>
      </c>
    </row>
    <row r="822" spans="1:20" x14ac:dyDescent="0.25">
      <c r="A822" s="5" t="s">
        <v>835</v>
      </c>
      <c r="B822" s="10">
        <v>45561</v>
      </c>
      <c r="C822" s="5" t="s">
        <v>1018</v>
      </c>
      <c r="D822" s="11" t="s">
        <v>1838</v>
      </c>
      <c r="E822" s="5" t="s">
        <v>2870</v>
      </c>
      <c r="F822" s="5">
        <v>21</v>
      </c>
      <c r="G822" s="5" t="str" cm="1">
        <f t="array" ref="G822">_xlfn.IFS(F822&lt;12,"Child",F822&lt;18,"Teen",F822&lt;25,"Young",F822&lt;40,"Adult",F822&lt;60,"Middle Age",F822&gt;=60,"Old")</f>
        <v>Young</v>
      </c>
      <c r="H822" s="5" t="s">
        <v>2043</v>
      </c>
      <c r="I822" s="5" t="s">
        <v>2045</v>
      </c>
      <c r="J822" s="5" t="s">
        <v>2021</v>
      </c>
      <c r="K822" s="5" t="str">
        <f>VLOOKUP(J822,Sheet2!$A$1:$B$11,2,FALSE)</f>
        <v>Casual Wear</v>
      </c>
      <c r="L822" s="5">
        <v>3</v>
      </c>
      <c r="M822" s="6">
        <v>1186</v>
      </c>
      <c r="N822" s="6">
        <v>3558</v>
      </c>
      <c r="O822" s="7">
        <v>0.2</v>
      </c>
      <c r="P822" s="8">
        <f t="shared" si="24"/>
        <v>711.6</v>
      </c>
      <c r="Q822" s="9">
        <f t="shared" si="25"/>
        <v>2846.4</v>
      </c>
      <c r="R822" s="5">
        <v>56</v>
      </c>
      <c r="S822" s="5" t="s">
        <v>2033</v>
      </c>
      <c r="T822" s="5" t="s">
        <v>2037</v>
      </c>
    </row>
    <row r="823" spans="1:20" x14ac:dyDescent="0.25">
      <c r="A823" s="5" t="s">
        <v>836</v>
      </c>
      <c r="B823" s="10">
        <v>45621</v>
      </c>
      <c r="C823" s="5" t="s">
        <v>1016</v>
      </c>
      <c r="D823" s="11" t="s">
        <v>1839</v>
      </c>
      <c r="E823" s="5" t="s">
        <v>2871</v>
      </c>
      <c r="F823" s="5">
        <v>44</v>
      </c>
      <c r="G823" s="5" t="str" cm="1">
        <f t="array" ref="G823">_xlfn.IFS(F823&lt;12,"Child",F823&lt;18,"Teen",F823&lt;25,"Young",F823&lt;40,"Adult",F823&lt;60,"Middle Age",F823&gt;=60,"Old")</f>
        <v>Middle Age</v>
      </c>
      <c r="H823" s="5" t="s">
        <v>2043</v>
      </c>
      <c r="I823" s="5" t="s">
        <v>2045</v>
      </c>
      <c r="J823" s="5" t="s">
        <v>2021</v>
      </c>
      <c r="K823" s="5" t="str">
        <f>VLOOKUP(J823,Sheet2!$A$1:$B$11,2,FALSE)</f>
        <v>Casual Wear</v>
      </c>
      <c r="L823" s="5">
        <v>5</v>
      </c>
      <c r="M823" s="6">
        <v>303</v>
      </c>
      <c r="N823" s="6">
        <v>1515</v>
      </c>
      <c r="O823" s="7">
        <v>0</v>
      </c>
      <c r="P823" s="8">
        <f t="shared" si="24"/>
        <v>0</v>
      </c>
      <c r="Q823" s="9">
        <f t="shared" si="25"/>
        <v>1515</v>
      </c>
      <c r="R823" s="5">
        <v>30</v>
      </c>
      <c r="S823" s="5" t="s">
        <v>2033</v>
      </c>
      <c r="T823" s="5" t="s">
        <v>2035</v>
      </c>
    </row>
    <row r="824" spans="1:20" x14ac:dyDescent="0.25">
      <c r="A824" s="5" t="s">
        <v>837</v>
      </c>
      <c r="B824" s="10">
        <v>45663</v>
      </c>
      <c r="C824" s="5" t="s">
        <v>1016</v>
      </c>
      <c r="D824" s="11" t="s">
        <v>1840</v>
      </c>
      <c r="E824" s="5" t="s">
        <v>2872</v>
      </c>
      <c r="F824" s="5">
        <v>32</v>
      </c>
      <c r="G824" s="5" t="str" cm="1">
        <f t="array" ref="G824">_xlfn.IFS(F824&lt;12,"Child",F824&lt;18,"Teen",F824&lt;25,"Young",F824&lt;40,"Adult",F824&lt;60,"Middle Age",F824&gt;=60,"Old")</f>
        <v>Adult</v>
      </c>
      <c r="H824" s="5" t="s">
        <v>2044</v>
      </c>
      <c r="I824" s="5" t="s">
        <v>2015</v>
      </c>
      <c r="J824" s="5" t="s">
        <v>2018</v>
      </c>
      <c r="K824" s="5" t="str">
        <f>VLOOKUP(J824,Sheet2!$A$1:$B$11,2,FALSE)</f>
        <v>Sportswear</v>
      </c>
      <c r="L824" s="5">
        <v>2</v>
      </c>
      <c r="M824" s="6">
        <v>523</v>
      </c>
      <c r="N824" s="6">
        <v>1046</v>
      </c>
      <c r="O824" s="7">
        <v>0.2</v>
      </c>
      <c r="P824" s="8">
        <f t="shared" si="24"/>
        <v>209.20000000000002</v>
      </c>
      <c r="Q824" s="9">
        <f t="shared" si="25"/>
        <v>836.8</v>
      </c>
      <c r="R824" s="5">
        <v>16</v>
      </c>
      <c r="S824" s="5" t="s">
        <v>2032</v>
      </c>
      <c r="T824" s="5" t="s">
        <v>2036</v>
      </c>
    </row>
    <row r="825" spans="1:20" x14ac:dyDescent="0.25">
      <c r="A825" s="5" t="s">
        <v>838</v>
      </c>
      <c r="B825" s="10">
        <v>45515</v>
      </c>
      <c r="C825" s="5" t="s">
        <v>1015</v>
      </c>
      <c r="D825" s="11" t="s">
        <v>1841</v>
      </c>
      <c r="E825" s="5" t="s">
        <v>2873</v>
      </c>
      <c r="F825" s="5">
        <v>31</v>
      </c>
      <c r="G825" s="5" t="str" cm="1">
        <f t="array" ref="G825">_xlfn.IFS(F825&lt;12,"Child",F825&lt;18,"Teen",F825&lt;25,"Young",F825&lt;40,"Adult",F825&lt;60,"Middle Age",F825&gt;=60,"Old")</f>
        <v>Adult</v>
      </c>
      <c r="H825" s="5" t="s">
        <v>2044</v>
      </c>
      <c r="I825" s="5" t="s">
        <v>2051</v>
      </c>
      <c r="J825" s="5" t="s">
        <v>2025</v>
      </c>
      <c r="K825" s="5" t="str">
        <f>VLOOKUP(J825,Sheet2!$A$1:$B$11,2,FALSE)</f>
        <v>Formal Wear</v>
      </c>
      <c r="L825" s="5">
        <v>5</v>
      </c>
      <c r="M825" s="6">
        <v>499</v>
      </c>
      <c r="N825" s="6">
        <v>2495</v>
      </c>
      <c r="O825" s="7">
        <v>0</v>
      </c>
      <c r="P825" s="8">
        <f t="shared" si="24"/>
        <v>0</v>
      </c>
      <c r="Q825" s="9">
        <f t="shared" si="25"/>
        <v>2495</v>
      </c>
      <c r="R825" s="5">
        <v>49</v>
      </c>
      <c r="S825" s="5" t="s">
        <v>2033</v>
      </c>
      <c r="T825" s="5" t="s">
        <v>2036</v>
      </c>
    </row>
    <row r="826" spans="1:20" x14ac:dyDescent="0.25">
      <c r="A826" s="5" t="s">
        <v>839</v>
      </c>
      <c r="B826" s="10">
        <v>45438</v>
      </c>
      <c r="C826" s="5" t="s">
        <v>1015</v>
      </c>
      <c r="D826" s="11" t="s">
        <v>1842</v>
      </c>
      <c r="E826" s="5" t="s">
        <v>2874</v>
      </c>
      <c r="F826" s="5">
        <v>54</v>
      </c>
      <c r="G826" s="5" t="str" cm="1">
        <f t="array" ref="G826">_xlfn.IFS(F826&lt;12,"Child",F826&lt;18,"Teen",F826&lt;25,"Young",F826&lt;40,"Adult",F826&lt;60,"Middle Age",F826&gt;=60,"Old")</f>
        <v>Middle Age</v>
      </c>
      <c r="H826" s="5" t="s">
        <v>2043</v>
      </c>
      <c r="I826" s="5" t="s">
        <v>2046</v>
      </c>
      <c r="J826" s="5" t="s">
        <v>2019</v>
      </c>
      <c r="K826" s="5" t="str">
        <f>VLOOKUP(J826,Sheet2!$A$1:$B$11,2,FALSE)</f>
        <v>Formal Wear</v>
      </c>
      <c r="L826" s="5">
        <v>4</v>
      </c>
      <c r="M826" s="6">
        <v>918</v>
      </c>
      <c r="N826" s="6">
        <v>3672</v>
      </c>
      <c r="O826" s="7">
        <v>0.15</v>
      </c>
      <c r="P826" s="8">
        <f t="shared" si="24"/>
        <v>550.79999999999995</v>
      </c>
      <c r="Q826" s="9">
        <f t="shared" si="25"/>
        <v>3121.2</v>
      </c>
      <c r="R826" s="5">
        <v>62</v>
      </c>
      <c r="S826" s="5" t="s">
        <v>2033</v>
      </c>
      <c r="T826" s="5" t="s">
        <v>2037</v>
      </c>
    </row>
    <row r="827" spans="1:20" x14ac:dyDescent="0.25">
      <c r="A827" s="5" t="s">
        <v>840</v>
      </c>
      <c r="B827" s="10">
        <v>45442</v>
      </c>
      <c r="C827" s="5" t="s">
        <v>1018</v>
      </c>
      <c r="D827" s="11" t="s">
        <v>1843</v>
      </c>
      <c r="E827" s="5" t="s">
        <v>2875</v>
      </c>
      <c r="F827" s="5">
        <v>18</v>
      </c>
      <c r="G827" s="5" t="str" cm="1">
        <f t="array" ref="G827">_xlfn.IFS(F827&lt;12,"Child",F827&lt;18,"Teen",F827&lt;25,"Young",F827&lt;40,"Adult",F827&lt;60,"Middle Age",F827&gt;=60,"Old")</f>
        <v>Young</v>
      </c>
      <c r="H827" s="5" t="s">
        <v>2044</v>
      </c>
      <c r="I827" s="5" t="s">
        <v>2048</v>
      </c>
      <c r="J827" s="5" t="s">
        <v>2017</v>
      </c>
      <c r="K827" s="5" t="str">
        <f>VLOOKUP(J827,Sheet2!$A$1:$B$11,2,FALSE)</f>
        <v>Casual Wear</v>
      </c>
      <c r="L827" s="5">
        <v>3</v>
      </c>
      <c r="M827" s="6">
        <v>508</v>
      </c>
      <c r="N827" s="6">
        <v>1524</v>
      </c>
      <c r="O827" s="7">
        <v>0.05</v>
      </c>
      <c r="P827" s="8">
        <f t="shared" si="24"/>
        <v>76.2</v>
      </c>
      <c r="Q827" s="9">
        <f t="shared" si="25"/>
        <v>1447.8</v>
      </c>
      <c r="R827" s="5">
        <v>28</v>
      </c>
      <c r="S827" s="5" t="s">
        <v>2032</v>
      </c>
      <c r="T827" s="5" t="s">
        <v>2036</v>
      </c>
    </row>
    <row r="828" spans="1:20" x14ac:dyDescent="0.25">
      <c r="A828" s="5" t="s">
        <v>841</v>
      </c>
      <c r="B828" s="10">
        <v>45408</v>
      </c>
      <c r="C828" s="5" t="s">
        <v>1014</v>
      </c>
      <c r="D828" s="11" t="s">
        <v>1844</v>
      </c>
      <c r="E828" s="5" t="s">
        <v>2876</v>
      </c>
      <c r="F828" s="5">
        <v>59</v>
      </c>
      <c r="G828" s="5" t="str" cm="1">
        <f t="array" ref="G828">_xlfn.IFS(F828&lt;12,"Child",F828&lt;18,"Teen",F828&lt;25,"Young",F828&lt;40,"Adult",F828&lt;60,"Middle Age",F828&gt;=60,"Old")</f>
        <v>Middle Age</v>
      </c>
      <c r="H828" s="5" t="s">
        <v>2043</v>
      </c>
      <c r="I828" s="5" t="s">
        <v>2048</v>
      </c>
      <c r="J828" s="5" t="s">
        <v>2021</v>
      </c>
      <c r="K828" s="5" t="str">
        <f>VLOOKUP(J828,Sheet2!$A$1:$B$11,2,FALSE)</f>
        <v>Casual Wear</v>
      </c>
      <c r="L828" s="5">
        <v>3</v>
      </c>
      <c r="M828" s="6">
        <v>568</v>
      </c>
      <c r="N828" s="6">
        <v>1704</v>
      </c>
      <c r="O828" s="7">
        <v>0</v>
      </c>
      <c r="P828" s="8">
        <f t="shared" si="24"/>
        <v>0</v>
      </c>
      <c r="Q828" s="9">
        <f t="shared" si="25"/>
        <v>1704</v>
      </c>
      <c r="R828" s="5">
        <v>34</v>
      </c>
      <c r="S828" s="5" t="s">
        <v>2033</v>
      </c>
      <c r="T828" s="5" t="s">
        <v>2037</v>
      </c>
    </row>
    <row r="829" spans="1:20" x14ac:dyDescent="0.25">
      <c r="A829" s="5" t="s">
        <v>842</v>
      </c>
      <c r="B829" s="10">
        <v>45716</v>
      </c>
      <c r="C829" s="5" t="s">
        <v>1014</v>
      </c>
      <c r="D829" s="11" t="s">
        <v>1845</v>
      </c>
      <c r="E829" s="5" t="s">
        <v>2877</v>
      </c>
      <c r="F829" s="5">
        <v>41</v>
      </c>
      <c r="G829" s="5" t="str" cm="1">
        <f t="array" ref="G829">_xlfn.IFS(F829&lt;12,"Child",F829&lt;18,"Teen",F829&lt;25,"Young",F829&lt;40,"Adult",F829&lt;60,"Middle Age",F829&gt;=60,"Old")</f>
        <v>Middle Age</v>
      </c>
      <c r="H829" s="5" t="s">
        <v>2043</v>
      </c>
      <c r="I829" s="5" t="s">
        <v>2049</v>
      </c>
      <c r="J829" s="5" t="s">
        <v>2023</v>
      </c>
      <c r="K829" s="5" t="str">
        <f>VLOOKUP(J829,Sheet2!$A$1:$B$11,2,FALSE)</f>
        <v>Formal Wear</v>
      </c>
      <c r="L829" s="5">
        <v>5</v>
      </c>
      <c r="M829" s="6">
        <v>1053</v>
      </c>
      <c r="N829" s="6">
        <v>5265</v>
      </c>
      <c r="O829" s="7">
        <v>0</v>
      </c>
      <c r="P829" s="8">
        <f t="shared" si="24"/>
        <v>0</v>
      </c>
      <c r="Q829" s="9">
        <f t="shared" si="25"/>
        <v>5265</v>
      </c>
      <c r="R829" s="5">
        <v>105</v>
      </c>
      <c r="S829" s="5" t="s">
        <v>2034</v>
      </c>
      <c r="T829" s="5" t="s">
        <v>2037</v>
      </c>
    </row>
    <row r="830" spans="1:20" x14ac:dyDescent="0.25">
      <c r="A830" s="5" t="s">
        <v>843</v>
      </c>
      <c r="B830" s="10">
        <v>45621</v>
      </c>
      <c r="C830" s="5" t="s">
        <v>1016</v>
      </c>
      <c r="D830" s="11" t="s">
        <v>1846</v>
      </c>
      <c r="E830" s="5" t="s">
        <v>2878</v>
      </c>
      <c r="F830" s="5">
        <v>21</v>
      </c>
      <c r="G830" s="5" t="str" cm="1">
        <f t="array" ref="G830">_xlfn.IFS(F830&lt;12,"Child",F830&lt;18,"Teen",F830&lt;25,"Young",F830&lt;40,"Adult",F830&lt;60,"Middle Age",F830&gt;=60,"Old")</f>
        <v>Young</v>
      </c>
      <c r="H830" s="5" t="s">
        <v>2043</v>
      </c>
      <c r="I830" s="5" t="s">
        <v>2047</v>
      </c>
      <c r="J830" s="5" t="s">
        <v>2023</v>
      </c>
      <c r="K830" s="5" t="str">
        <f>VLOOKUP(J830,Sheet2!$A$1:$B$11,2,FALSE)</f>
        <v>Formal Wear</v>
      </c>
      <c r="L830" s="5">
        <v>5</v>
      </c>
      <c r="M830" s="6">
        <v>166</v>
      </c>
      <c r="N830" s="6">
        <v>830</v>
      </c>
      <c r="O830" s="7">
        <v>0.05</v>
      </c>
      <c r="P830" s="8">
        <f t="shared" si="24"/>
        <v>41.5</v>
      </c>
      <c r="Q830" s="9">
        <f t="shared" si="25"/>
        <v>788.5</v>
      </c>
      <c r="R830" s="5">
        <v>15</v>
      </c>
      <c r="S830" s="5" t="s">
        <v>2032</v>
      </c>
      <c r="T830" s="5" t="s">
        <v>2036</v>
      </c>
    </row>
    <row r="831" spans="1:20" x14ac:dyDescent="0.25">
      <c r="A831" s="5" t="s">
        <v>844</v>
      </c>
      <c r="B831" s="10">
        <v>45695</v>
      </c>
      <c r="C831" s="5" t="s">
        <v>1014</v>
      </c>
      <c r="D831" s="11" t="s">
        <v>1847</v>
      </c>
      <c r="E831" s="5" t="s">
        <v>2879</v>
      </c>
      <c r="F831" s="5">
        <v>48</v>
      </c>
      <c r="G831" s="5" t="str" cm="1">
        <f t="array" ref="G831">_xlfn.IFS(F831&lt;12,"Child",F831&lt;18,"Teen",F831&lt;25,"Young",F831&lt;40,"Adult",F831&lt;60,"Middle Age",F831&gt;=60,"Old")</f>
        <v>Middle Age</v>
      </c>
      <c r="H831" s="5" t="s">
        <v>2044</v>
      </c>
      <c r="I831" s="5" t="s">
        <v>2046</v>
      </c>
      <c r="J831" s="5" t="s">
        <v>2017</v>
      </c>
      <c r="K831" s="5" t="str">
        <f>VLOOKUP(J831,Sheet2!$A$1:$B$11,2,FALSE)</f>
        <v>Casual Wear</v>
      </c>
      <c r="L831" s="5">
        <v>3</v>
      </c>
      <c r="M831" s="6">
        <v>665</v>
      </c>
      <c r="N831" s="6">
        <v>1995</v>
      </c>
      <c r="O831" s="7">
        <v>0.2</v>
      </c>
      <c r="P831" s="8">
        <f t="shared" si="24"/>
        <v>399</v>
      </c>
      <c r="Q831" s="9">
        <f t="shared" si="25"/>
        <v>1596</v>
      </c>
      <c r="R831" s="5">
        <v>31</v>
      </c>
      <c r="S831" s="5" t="s">
        <v>2033</v>
      </c>
      <c r="T831" s="5" t="s">
        <v>2036</v>
      </c>
    </row>
    <row r="832" spans="1:20" x14ac:dyDescent="0.25">
      <c r="A832" s="5" t="s">
        <v>845</v>
      </c>
      <c r="B832" s="10">
        <v>45488</v>
      </c>
      <c r="C832" s="5" t="s">
        <v>1016</v>
      </c>
      <c r="D832" s="11" t="s">
        <v>1848</v>
      </c>
      <c r="E832" s="5" t="s">
        <v>2880</v>
      </c>
      <c r="F832" s="5">
        <v>42</v>
      </c>
      <c r="G832" s="5" t="str" cm="1">
        <f t="array" ref="G832">_xlfn.IFS(F832&lt;12,"Child",F832&lt;18,"Teen",F832&lt;25,"Young",F832&lt;40,"Adult",F832&lt;60,"Middle Age",F832&gt;=60,"Old")</f>
        <v>Middle Age</v>
      </c>
      <c r="H832" s="5" t="s">
        <v>2044</v>
      </c>
      <c r="I832" s="5" t="s">
        <v>2048</v>
      </c>
      <c r="J832" s="5" t="s">
        <v>2016</v>
      </c>
      <c r="K832" s="5" t="str">
        <f>VLOOKUP(J832,Sheet2!$A$1:$B$11,2,FALSE)</f>
        <v>Winter Wear</v>
      </c>
      <c r="L832" s="5">
        <v>2</v>
      </c>
      <c r="M832" s="6">
        <v>899</v>
      </c>
      <c r="N832" s="6">
        <v>1798</v>
      </c>
      <c r="O832" s="7">
        <v>0</v>
      </c>
      <c r="P832" s="8">
        <f t="shared" si="24"/>
        <v>0</v>
      </c>
      <c r="Q832" s="9">
        <f t="shared" si="25"/>
        <v>1798</v>
      </c>
      <c r="R832" s="5">
        <v>35</v>
      </c>
      <c r="S832" s="5" t="s">
        <v>2033</v>
      </c>
      <c r="T832" s="5" t="s">
        <v>2036</v>
      </c>
    </row>
    <row r="833" spans="1:20" x14ac:dyDescent="0.25">
      <c r="A833" s="5" t="s">
        <v>846</v>
      </c>
      <c r="B833" s="10">
        <v>45362</v>
      </c>
      <c r="C833" s="5" t="s">
        <v>1016</v>
      </c>
      <c r="D833" s="11" t="s">
        <v>1849</v>
      </c>
      <c r="E833" s="5" t="s">
        <v>2881</v>
      </c>
      <c r="F833" s="5">
        <v>31</v>
      </c>
      <c r="G833" s="5" t="str" cm="1">
        <f t="array" ref="G833">_xlfn.IFS(F833&lt;12,"Child",F833&lt;18,"Teen",F833&lt;25,"Young",F833&lt;40,"Adult",F833&lt;60,"Middle Age",F833&gt;=60,"Old")</f>
        <v>Adult</v>
      </c>
      <c r="H833" s="5" t="s">
        <v>2044</v>
      </c>
      <c r="I833" s="5" t="s">
        <v>2048</v>
      </c>
      <c r="J833" s="5" t="s">
        <v>2023</v>
      </c>
      <c r="K833" s="5" t="str">
        <f>VLOOKUP(J833,Sheet2!$A$1:$B$11,2,FALSE)</f>
        <v>Formal Wear</v>
      </c>
      <c r="L833" s="5">
        <v>2</v>
      </c>
      <c r="M833" s="6">
        <v>809</v>
      </c>
      <c r="N833" s="6">
        <v>1618</v>
      </c>
      <c r="O833" s="7">
        <v>0.1</v>
      </c>
      <c r="P833" s="8">
        <f t="shared" si="24"/>
        <v>161.80000000000001</v>
      </c>
      <c r="Q833" s="9">
        <f t="shared" si="25"/>
        <v>1456.2</v>
      </c>
      <c r="R833" s="5">
        <v>29</v>
      </c>
      <c r="S833" s="5" t="s">
        <v>2033</v>
      </c>
      <c r="T833" s="5" t="s">
        <v>2035</v>
      </c>
    </row>
    <row r="834" spans="1:20" x14ac:dyDescent="0.25">
      <c r="A834" s="5" t="s">
        <v>847</v>
      </c>
      <c r="B834" s="10">
        <v>45682</v>
      </c>
      <c r="C834" s="5" t="s">
        <v>1020</v>
      </c>
      <c r="D834" s="11" t="s">
        <v>1850</v>
      </c>
      <c r="E834" s="5" t="s">
        <v>2882</v>
      </c>
      <c r="F834" s="5">
        <v>19</v>
      </c>
      <c r="G834" s="5" t="str" cm="1">
        <f t="array" ref="G834">_xlfn.IFS(F834&lt;12,"Child",F834&lt;18,"Teen",F834&lt;25,"Young",F834&lt;40,"Adult",F834&lt;60,"Middle Age",F834&gt;=60,"Old")</f>
        <v>Young</v>
      </c>
      <c r="H834" s="5" t="s">
        <v>2044</v>
      </c>
      <c r="I834" s="5" t="s">
        <v>2049</v>
      </c>
      <c r="J834" s="5" t="s">
        <v>2019</v>
      </c>
      <c r="K834" s="5" t="str">
        <f>VLOOKUP(J834,Sheet2!$A$1:$B$11,2,FALSE)</f>
        <v>Formal Wear</v>
      </c>
      <c r="L834" s="5">
        <v>1</v>
      </c>
      <c r="M834" s="6">
        <v>416</v>
      </c>
      <c r="N834" s="6">
        <v>416</v>
      </c>
      <c r="O834" s="7">
        <v>0.15</v>
      </c>
      <c r="P834" s="8">
        <f t="shared" si="24"/>
        <v>62.4</v>
      </c>
      <c r="Q834" s="9">
        <f t="shared" si="25"/>
        <v>353.6</v>
      </c>
      <c r="R834" s="5">
        <v>7</v>
      </c>
      <c r="S834" s="5" t="s">
        <v>2032</v>
      </c>
      <c r="T834" s="5" t="s">
        <v>2035</v>
      </c>
    </row>
    <row r="835" spans="1:20" x14ac:dyDescent="0.25">
      <c r="A835" s="5" t="s">
        <v>848</v>
      </c>
      <c r="B835" s="10">
        <v>45706</v>
      </c>
      <c r="C835" s="5" t="s">
        <v>1019</v>
      </c>
      <c r="D835" s="11" t="s">
        <v>1851</v>
      </c>
      <c r="E835" s="5" t="s">
        <v>2883</v>
      </c>
      <c r="F835" s="5">
        <v>53</v>
      </c>
      <c r="G835" s="5" t="str" cm="1">
        <f t="array" ref="G835">_xlfn.IFS(F835&lt;12,"Child",F835&lt;18,"Teen",F835&lt;25,"Young",F835&lt;40,"Adult",F835&lt;60,"Middle Age",F835&gt;=60,"Old")</f>
        <v>Middle Age</v>
      </c>
      <c r="H835" s="5" t="s">
        <v>2043</v>
      </c>
      <c r="I835" s="5" t="s">
        <v>2051</v>
      </c>
      <c r="J835" s="5" t="s">
        <v>2017</v>
      </c>
      <c r="K835" s="5" t="str">
        <f>VLOOKUP(J835,Sheet2!$A$1:$B$11,2,FALSE)</f>
        <v>Casual Wear</v>
      </c>
      <c r="L835" s="5">
        <v>2</v>
      </c>
      <c r="M835" s="6">
        <v>313</v>
      </c>
      <c r="N835" s="6">
        <v>626</v>
      </c>
      <c r="O835" s="7">
        <v>0.15</v>
      </c>
      <c r="P835" s="8">
        <f t="shared" ref="P835:P898" si="26">N835*O835</f>
        <v>93.899999999999991</v>
      </c>
      <c r="Q835" s="9">
        <f t="shared" ref="Q835:Q898" si="27">N835-P835</f>
        <v>532.1</v>
      </c>
      <c r="R835" s="5">
        <v>10</v>
      </c>
      <c r="S835" s="5" t="s">
        <v>2034</v>
      </c>
      <c r="T835" s="5" t="s">
        <v>2035</v>
      </c>
    </row>
    <row r="836" spans="1:20" x14ac:dyDescent="0.25">
      <c r="A836" s="5" t="s">
        <v>849</v>
      </c>
      <c r="B836" s="10">
        <v>45470</v>
      </c>
      <c r="C836" s="5" t="s">
        <v>1018</v>
      </c>
      <c r="D836" s="11" t="s">
        <v>1852</v>
      </c>
      <c r="E836" s="5" t="s">
        <v>2884</v>
      </c>
      <c r="F836" s="5">
        <v>32</v>
      </c>
      <c r="G836" s="5" t="str" cm="1">
        <f t="array" ref="G836">_xlfn.IFS(F836&lt;12,"Child",F836&lt;18,"Teen",F836&lt;25,"Young",F836&lt;40,"Adult",F836&lt;60,"Middle Age",F836&gt;=60,"Old")</f>
        <v>Adult</v>
      </c>
      <c r="H836" s="5" t="s">
        <v>2044</v>
      </c>
      <c r="I836" s="5" t="s">
        <v>2045</v>
      </c>
      <c r="J836" s="5" t="s">
        <v>2018</v>
      </c>
      <c r="K836" s="5" t="str">
        <f>VLOOKUP(J836,Sheet2!$A$1:$B$11,2,FALSE)</f>
        <v>Sportswear</v>
      </c>
      <c r="L836" s="5">
        <v>1</v>
      </c>
      <c r="M836" s="6">
        <v>701</v>
      </c>
      <c r="N836" s="6">
        <v>701</v>
      </c>
      <c r="O836" s="7">
        <v>0</v>
      </c>
      <c r="P836" s="8">
        <f t="shared" si="26"/>
        <v>0</v>
      </c>
      <c r="Q836" s="9">
        <f t="shared" si="27"/>
        <v>701</v>
      </c>
      <c r="R836" s="5">
        <v>14</v>
      </c>
      <c r="S836" s="5" t="s">
        <v>2032</v>
      </c>
      <c r="T836" s="5" t="s">
        <v>2036</v>
      </c>
    </row>
    <row r="837" spans="1:20" x14ac:dyDescent="0.25">
      <c r="A837" s="5" t="s">
        <v>850</v>
      </c>
      <c r="B837" s="10">
        <v>45421</v>
      </c>
      <c r="C837" s="5" t="s">
        <v>1018</v>
      </c>
      <c r="D837" s="11" t="s">
        <v>1853</v>
      </c>
      <c r="E837" s="5" t="s">
        <v>2885</v>
      </c>
      <c r="F837" s="5">
        <v>29</v>
      </c>
      <c r="G837" s="5" t="str" cm="1">
        <f t="array" ref="G837">_xlfn.IFS(F837&lt;12,"Child",F837&lt;18,"Teen",F837&lt;25,"Young",F837&lt;40,"Adult",F837&lt;60,"Middle Age",F837&gt;=60,"Old")</f>
        <v>Adult</v>
      </c>
      <c r="H837" s="5" t="s">
        <v>2043</v>
      </c>
      <c r="I837" s="5" t="s">
        <v>2015</v>
      </c>
      <c r="J837" s="5" t="s">
        <v>2019</v>
      </c>
      <c r="K837" s="5" t="str">
        <f>VLOOKUP(J837,Sheet2!$A$1:$B$11,2,FALSE)</f>
        <v>Formal Wear</v>
      </c>
      <c r="L837" s="5">
        <v>4</v>
      </c>
      <c r="M837" s="6">
        <v>747</v>
      </c>
      <c r="N837" s="6">
        <v>2988</v>
      </c>
      <c r="O837" s="7">
        <v>0.2</v>
      </c>
      <c r="P837" s="8">
        <f t="shared" si="26"/>
        <v>597.6</v>
      </c>
      <c r="Q837" s="9">
        <f t="shared" si="27"/>
        <v>2390.4</v>
      </c>
      <c r="R837" s="5">
        <v>47</v>
      </c>
      <c r="S837" s="5" t="s">
        <v>2033</v>
      </c>
      <c r="T837" s="5" t="s">
        <v>2035</v>
      </c>
    </row>
    <row r="838" spans="1:20" x14ac:dyDescent="0.25">
      <c r="A838" s="5" t="s">
        <v>851</v>
      </c>
      <c r="B838" s="10">
        <v>45384</v>
      </c>
      <c r="C838" s="5" t="s">
        <v>1019</v>
      </c>
      <c r="D838" s="11" t="s">
        <v>1854</v>
      </c>
      <c r="E838" s="5" t="s">
        <v>2886</v>
      </c>
      <c r="F838" s="5">
        <v>32</v>
      </c>
      <c r="G838" s="5" t="str" cm="1">
        <f t="array" ref="G838">_xlfn.IFS(F838&lt;12,"Child",F838&lt;18,"Teen",F838&lt;25,"Young",F838&lt;40,"Adult",F838&lt;60,"Middle Age",F838&gt;=60,"Old")</f>
        <v>Adult</v>
      </c>
      <c r="H838" s="5" t="s">
        <v>2044</v>
      </c>
      <c r="I838" s="5" t="s">
        <v>2050</v>
      </c>
      <c r="J838" s="5" t="s">
        <v>2023</v>
      </c>
      <c r="K838" s="5" t="str">
        <f>VLOOKUP(J838,Sheet2!$A$1:$B$11,2,FALSE)</f>
        <v>Formal Wear</v>
      </c>
      <c r="L838" s="5">
        <v>5</v>
      </c>
      <c r="M838" s="6">
        <v>578</v>
      </c>
      <c r="N838" s="6">
        <v>2890</v>
      </c>
      <c r="O838" s="7">
        <v>0</v>
      </c>
      <c r="P838" s="8">
        <f t="shared" si="26"/>
        <v>0</v>
      </c>
      <c r="Q838" s="9">
        <f t="shared" si="27"/>
        <v>2890</v>
      </c>
      <c r="R838" s="5">
        <v>57</v>
      </c>
      <c r="S838" s="5" t="s">
        <v>2034</v>
      </c>
      <c r="T838" s="5" t="s">
        <v>2036</v>
      </c>
    </row>
    <row r="839" spans="1:20" x14ac:dyDescent="0.25">
      <c r="A839" s="5" t="s">
        <v>852</v>
      </c>
      <c r="B839" s="10">
        <v>45377</v>
      </c>
      <c r="C839" s="5" t="s">
        <v>1019</v>
      </c>
      <c r="D839" s="11" t="s">
        <v>1855</v>
      </c>
      <c r="E839" s="5" t="s">
        <v>2887</v>
      </c>
      <c r="F839" s="5">
        <v>38</v>
      </c>
      <c r="G839" s="5" t="str" cm="1">
        <f t="array" ref="G839">_xlfn.IFS(F839&lt;12,"Child",F839&lt;18,"Teen",F839&lt;25,"Young",F839&lt;40,"Adult",F839&lt;60,"Middle Age",F839&gt;=60,"Old")</f>
        <v>Adult</v>
      </c>
      <c r="H839" s="5" t="s">
        <v>2043</v>
      </c>
      <c r="I839" s="5" t="s">
        <v>2053</v>
      </c>
      <c r="J839" s="5" t="s">
        <v>2021</v>
      </c>
      <c r="K839" s="5" t="str">
        <f>VLOOKUP(J839,Sheet2!$A$1:$B$11,2,FALSE)</f>
        <v>Casual Wear</v>
      </c>
      <c r="L839" s="5">
        <v>5</v>
      </c>
      <c r="M839" s="6">
        <v>195</v>
      </c>
      <c r="N839" s="6">
        <v>975</v>
      </c>
      <c r="O839" s="7">
        <v>0.2</v>
      </c>
      <c r="P839" s="8">
        <f t="shared" si="26"/>
        <v>195</v>
      </c>
      <c r="Q839" s="9">
        <f t="shared" si="27"/>
        <v>780</v>
      </c>
      <c r="R839" s="5">
        <v>15</v>
      </c>
      <c r="S839" s="5" t="s">
        <v>2033</v>
      </c>
      <c r="T839" s="5" t="s">
        <v>2037</v>
      </c>
    </row>
    <row r="840" spans="1:20" x14ac:dyDescent="0.25">
      <c r="A840" s="5" t="s">
        <v>853</v>
      </c>
      <c r="B840" s="10">
        <v>45487</v>
      </c>
      <c r="C840" s="5" t="s">
        <v>1015</v>
      </c>
      <c r="D840" s="11" t="s">
        <v>1856</v>
      </c>
      <c r="E840" s="5" t="s">
        <v>2888</v>
      </c>
      <c r="F840" s="5">
        <v>39</v>
      </c>
      <c r="G840" s="5" t="str" cm="1">
        <f t="array" ref="G840">_xlfn.IFS(F840&lt;12,"Child",F840&lt;18,"Teen",F840&lt;25,"Young",F840&lt;40,"Adult",F840&lt;60,"Middle Age",F840&gt;=60,"Old")</f>
        <v>Adult</v>
      </c>
      <c r="H840" s="5" t="s">
        <v>2044</v>
      </c>
      <c r="I840" s="5" t="s">
        <v>2046</v>
      </c>
      <c r="J840" s="5" t="s">
        <v>2025</v>
      </c>
      <c r="K840" s="5" t="str">
        <f>VLOOKUP(J840,Sheet2!$A$1:$B$11,2,FALSE)</f>
        <v>Formal Wear</v>
      </c>
      <c r="L840" s="5">
        <v>4</v>
      </c>
      <c r="M840" s="6">
        <v>1175</v>
      </c>
      <c r="N840" s="6">
        <v>4700</v>
      </c>
      <c r="O840" s="7">
        <v>0.05</v>
      </c>
      <c r="P840" s="8">
        <f t="shared" si="26"/>
        <v>235</v>
      </c>
      <c r="Q840" s="9">
        <f t="shared" si="27"/>
        <v>4465</v>
      </c>
      <c r="R840" s="5">
        <v>89</v>
      </c>
      <c r="S840" s="5" t="s">
        <v>2032</v>
      </c>
      <c r="T840" s="5" t="s">
        <v>2035</v>
      </c>
    </row>
    <row r="841" spans="1:20" x14ac:dyDescent="0.25">
      <c r="A841" s="5" t="s">
        <v>854</v>
      </c>
      <c r="B841" s="10">
        <v>45623</v>
      </c>
      <c r="C841" s="5" t="s">
        <v>1017</v>
      </c>
      <c r="D841" s="11" t="s">
        <v>1857</v>
      </c>
      <c r="E841" s="5" t="s">
        <v>2889</v>
      </c>
      <c r="F841" s="5">
        <v>24</v>
      </c>
      <c r="G841" s="5" t="str" cm="1">
        <f t="array" ref="G841">_xlfn.IFS(F841&lt;12,"Child",F841&lt;18,"Teen",F841&lt;25,"Young",F841&lt;40,"Adult",F841&lt;60,"Middle Age",F841&gt;=60,"Old")</f>
        <v>Young</v>
      </c>
      <c r="H841" s="5" t="s">
        <v>2044</v>
      </c>
      <c r="I841" s="5" t="s">
        <v>2051</v>
      </c>
      <c r="J841" s="5" t="s">
        <v>2018</v>
      </c>
      <c r="K841" s="5" t="str">
        <f>VLOOKUP(J841,Sheet2!$A$1:$B$11,2,FALSE)</f>
        <v>Sportswear</v>
      </c>
      <c r="L841" s="5">
        <v>5</v>
      </c>
      <c r="M841" s="6">
        <v>841</v>
      </c>
      <c r="N841" s="6">
        <v>4205</v>
      </c>
      <c r="O841" s="7">
        <v>0.1</v>
      </c>
      <c r="P841" s="8">
        <f t="shared" si="26"/>
        <v>420.5</v>
      </c>
      <c r="Q841" s="9">
        <f t="shared" si="27"/>
        <v>3784.5</v>
      </c>
      <c r="R841" s="5">
        <v>75</v>
      </c>
      <c r="S841" s="5" t="s">
        <v>2034</v>
      </c>
      <c r="T841" s="5" t="s">
        <v>2036</v>
      </c>
    </row>
    <row r="842" spans="1:20" x14ac:dyDescent="0.25">
      <c r="A842" s="5" t="s">
        <v>855</v>
      </c>
      <c r="B842" s="10">
        <v>45434</v>
      </c>
      <c r="C842" s="5" t="s">
        <v>1017</v>
      </c>
      <c r="D842" s="11" t="s">
        <v>1858</v>
      </c>
      <c r="E842" s="5" t="s">
        <v>2890</v>
      </c>
      <c r="F842" s="5">
        <v>30</v>
      </c>
      <c r="G842" s="5" t="str" cm="1">
        <f t="array" ref="G842">_xlfn.IFS(F842&lt;12,"Child",F842&lt;18,"Teen",F842&lt;25,"Young",F842&lt;40,"Adult",F842&lt;60,"Middle Age",F842&gt;=60,"Old")</f>
        <v>Adult</v>
      </c>
      <c r="H842" s="5" t="s">
        <v>2044</v>
      </c>
      <c r="I842" s="5" t="s">
        <v>2050</v>
      </c>
      <c r="J842" s="5" t="s">
        <v>2025</v>
      </c>
      <c r="K842" s="5" t="str">
        <f>VLOOKUP(J842,Sheet2!$A$1:$B$11,2,FALSE)</f>
        <v>Formal Wear</v>
      </c>
      <c r="L842" s="5">
        <v>1</v>
      </c>
      <c r="M842" s="6">
        <v>540</v>
      </c>
      <c r="N842" s="6">
        <v>540</v>
      </c>
      <c r="O842" s="7">
        <v>0</v>
      </c>
      <c r="P842" s="8">
        <f t="shared" si="26"/>
        <v>0</v>
      </c>
      <c r="Q842" s="9">
        <f t="shared" si="27"/>
        <v>540</v>
      </c>
      <c r="R842" s="5">
        <v>10</v>
      </c>
      <c r="S842" s="5" t="s">
        <v>2034</v>
      </c>
      <c r="T842" s="5" t="s">
        <v>2035</v>
      </c>
    </row>
    <row r="843" spans="1:20" x14ac:dyDescent="0.25">
      <c r="A843" s="5" t="s">
        <v>856</v>
      </c>
      <c r="B843" s="10">
        <v>45501</v>
      </c>
      <c r="C843" s="5" t="s">
        <v>1015</v>
      </c>
      <c r="D843" s="11" t="s">
        <v>1859</v>
      </c>
      <c r="E843" s="5" t="s">
        <v>2891</v>
      </c>
      <c r="F843" s="5">
        <v>42</v>
      </c>
      <c r="G843" s="5" t="str" cm="1">
        <f t="array" ref="G843">_xlfn.IFS(F843&lt;12,"Child",F843&lt;18,"Teen",F843&lt;25,"Young",F843&lt;40,"Adult",F843&lt;60,"Middle Age",F843&gt;=60,"Old")</f>
        <v>Middle Age</v>
      </c>
      <c r="H843" s="5" t="s">
        <v>2044</v>
      </c>
      <c r="I843" s="5" t="s">
        <v>2048</v>
      </c>
      <c r="J843" s="5" t="s">
        <v>2025</v>
      </c>
      <c r="K843" s="5" t="str">
        <f>VLOOKUP(J843,Sheet2!$A$1:$B$11,2,FALSE)</f>
        <v>Formal Wear</v>
      </c>
      <c r="L843" s="5">
        <v>1</v>
      </c>
      <c r="M843" s="6">
        <v>1152</v>
      </c>
      <c r="N843" s="6">
        <v>1152</v>
      </c>
      <c r="O843" s="7">
        <v>0.05</v>
      </c>
      <c r="P843" s="8">
        <f t="shared" si="26"/>
        <v>57.6</v>
      </c>
      <c r="Q843" s="9">
        <f t="shared" si="27"/>
        <v>1094.4000000000001</v>
      </c>
      <c r="R843" s="5">
        <v>21</v>
      </c>
      <c r="S843" s="5" t="s">
        <v>2034</v>
      </c>
      <c r="T843" s="5" t="s">
        <v>2035</v>
      </c>
    </row>
    <row r="844" spans="1:20" x14ac:dyDescent="0.25">
      <c r="A844" s="5" t="s">
        <v>857</v>
      </c>
      <c r="B844" s="10">
        <v>45512</v>
      </c>
      <c r="C844" s="5" t="s">
        <v>1018</v>
      </c>
      <c r="D844" s="11" t="s">
        <v>1860</v>
      </c>
      <c r="E844" s="5" t="s">
        <v>2892</v>
      </c>
      <c r="F844" s="5">
        <v>27</v>
      </c>
      <c r="G844" s="5" t="str" cm="1">
        <f t="array" ref="G844">_xlfn.IFS(F844&lt;12,"Child",F844&lt;18,"Teen",F844&lt;25,"Young",F844&lt;40,"Adult",F844&lt;60,"Middle Age",F844&gt;=60,"Old")</f>
        <v>Adult</v>
      </c>
      <c r="H844" s="5" t="s">
        <v>2043</v>
      </c>
      <c r="I844" s="5" t="s">
        <v>2051</v>
      </c>
      <c r="J844" s="5" t="s">
        <v>2025</v>
      </c>
      <c r="K844" s="5" t="str">
        <f>VLOOKUP(J844,Sheet2!$A$1:$B$11,2,FALSE)</f>
        <v>Formal Wear</v>
      </c>
      <c r="L844" s="5">
        <v>2</v>
      </c>
      <c r="M844" s="6">
        <v>273</v>
      </c>
      <c r="N844" s="6">
        <v>546</v>
      </c>
      <c r="O844" s="7">
        <v>0.1</v>
      </c>
      <c r="P844" s="8">
        <f t="shared" si="26"/>
        <v>54.6</v>
      </c>
      <c r="Q844" s="9">
        <f t="shared" si="27"/>
        <v>491.4</v>
      </c>
      <c r="R844" s="5">
        <v>9</v>
      </c>
      <c r="S844" s="5" t="s">
        <v>2034</v>
      </c>
      <c r="T844" s="5" t="s">
        <v>2037</v>
      </c>
    </row>
    <row r="845" spans="1:20" x14ac:dyDescent="0.25">
      <c r="A845" s="5" t="s">
        <v>858</v>
      </c>
      <c r="B845" s="10">
        <v>45560</v>
      </c>
      <c r="C845" s="5" t="s">
        <v>1017</v>
      </c>
      <c r="D845" s="11" t="s">
        <v>1861</v>
      </c>
      <c r="E845" s="5" t="s">
        <v>2893</v>
      </c>
      <c r="F845" s="5">
        <v>31</v>
      </c>
      <c r="G845" s="5" t="str" cm="1">
        <f t="array" ref="G845">_xlfn.IFS(F845&lt;12,"Child",F845&lt;18,"Teen",F845&lt;25,"Young",F845&lt;40,"Adult",F845&lt;60,"Middle Age",F845&gt;=60,"Old")</f>
        <v>Adult</v>
      </c>
      <c r="H845" s="5" t="s">
        <v>2044</v>
      </c>
      <c r="I845" s="5" t="s">
        <v>2046</v>
      </c>
      <c r="J845" s="5" t="s">
        <v>2020</v>
      </c>
      <c r="K845" s="5" t="str">
        <f>VLOOKUP(J845,Sheet2!$A$1:$B$11,2,FALSE)</f>
        <v>Summer Wear</v>
      </c>
      <c r="L845" s="5">
        <v>2</v>
      </c>
      <c r="M845" s="6">
        <v>720</v>
      </c>
      <c r="N845" s="6">
        <v>1440</v>
      </c>
      <c r="O845" s="7">
        <v>0.15</v>
      </c>
      <c r="P845" s="8">
        <f t="shared" si="26"/>
        <v>216</v>
      </c>
      <c r="Q845" s="9">
        <f t="shared" si="27"/>
        <v>1224</v>
      </c>
      <c r="R845" s="5">
        <v>24</v>
      </c>
      <c r="S845" s="5" t="s">
        <v>2032</v>
      </c>
      <c r="T845" s="5" t="s">
        <v>2036</v>
      </c>
    </row>
    <row r="846" spans="1:20" x14ac:dyDescent="0.25">
      <c r="A846" s="5" t="s">
        <v>859</v>
      </c>
      <c r="B846" s="10">
        <v>45536</v>
      </c>
      <c r="C846" s="5" t="s">
        <v>1015</v>
      </c>
      <c r="D846" s="11" t="s">
        <v>1862</v>
      </c>
      <c r="E846" s="5" t="s">
        <v>2894</v>
      </c>
      <c r="F846" s="5">
        <v>30</v>
      </c>
      <c r="G846" s="5" t="str" cm="1">
        <f t="array" ref="G846">_xlfn.IFS(F846&lt;12,"Child",F846&lt;18,"Teen",F846&lt;25,"Young",F846&lt;40,"Adult",F846&lt;60,"Middle Age",F846&gt;=60,"Old")</f>
        <v>Adult</v>
      </c>
      <c r="H846" s="5" t="s">
        <v>2043</v>
      </c>
      <c r="I846" s="5" t="s">
        <v>2046</v>
      </c>
      <c r="J846" s="5" t="s">
        <v>2017</v>
      </c>
      <c r="K846" s="5" t="str">
        <f>VLOOKUP(J846,Sheet2!$A$1:$B$11,2,FALSE)</f>
        <v>Casual Wear</v>
      </c>
      <c r="L846" s="5">
        <v>2</v>
      </c>
      <c r="M846" s="6">
        <v>498</v>
      </c>
      <c r="N846" s="6">
        <v>996</v>
      </c>
      <c r="O846" s="7">
        <v>0.2</v>
      </c>
      <c r="P846" s="8">
        <f t="shared" si="26"/>
        <v>199.20000000000002</v>
      </c>
      <c r="Q846" s="9">
        <f t="shared" si="27"/>
        <v>796.8</v>
      </c>
      <c r="R846" s="5">
        <v>15</v>
      </c>
      <c r="S846" s="5" t="s">
        <v>2033</v>
      </c>
      <c r="T846" s="5" t="s">
        <v>2035</v>
      </c>
    </row>
    <row r="847" spans="1:20" x14ac:dyDescent="0.25">
      <c r="A847" s="5" t="s">
        <v>860</v>
      </c>
      <c r="B847" s="10">
        <v>45701</v>
      </c>
      <c r="C847" s="5" t="s">
        <v>1018</v>
      </c>
      <c r="D847" s="11" t="s">
        <v>1863</v>
      </c>
      <c r="E847" s="5" t="s">
        <v>2895</v>
      </c>
      <c r="F847" s="5">
        <v>29</v>
      </c>
      <c r="G847" s="5" t="str" cm="1">
        <f t="array" ref="G847">_xlfn.IFS(F847&lt;12,"Child",F847&lt;18,"Teen",F847&lt;25,"Young",F847&lt;40,"Adult",F847&lt;60,"Middle Age",F847&gt;=60,"Old")</f>
        <v>Adult</v>
      </c>
      <c r="H847" s="5" t="s">
        <v>2043</v>
      </c>
      <c r="I847" s="5" t="s">
        <v>2053</v>
      </c>
      <c r="J847" s="5" t="s">
        <v>2018</v>
      </c>
      <c r="K847" s="5" t="str">
        <f>VLOOKUP(J847,Sheet2!$A$1:$B$11,2,FALSE)</f>
        <v>Sportswear</v>
      </c>
      <c r="L847" s="5">
        <v>4</v>
      </c>
      <c r="M847" s="6">
        <v>990</v>
      </c>
      <c r="N847" s="6">
        <v>3960</v>
      </c>
      <c r="O847" s="7">
        <v>0.05</v>
      </c>
      <c r="P847" s="8">
        <f t="shared" si="26"/>
        <v>198</v>
      </c>
      <c r="Q847" s="9">
        <f t="shared" si="27"/>
        <v>3762</v>
      </c>
      <c r="R847" s="5">
        <v>75</v>
      </c>
      <c r="S847" s="5" t="s">
        <v>2032</v>
      </c>
      <c r="T847" s="5" t="s">
        <v>2035</v>
      </c>
    </row>
    <row r="848" spans="1:20" x14ac:dyDescent="0.25">
      <c r="A848" s="5" t="s">
        <v>861</v>
      </c>
      <c r="B848" s="10">
        <v>45660</v>
      </c>
      <c r="C848" s="5" t="s">
        <v>1014</v>
      </c>
      <c r="D848" s="11" t="s">
        <v>1864</v>
      </c>
      <c r="E848" s="5" t="s">
        <v>2896</v>
      </c>
      <c r="F848" s="5">
        <v>49</v>
      </c>
      <c r="G848" s="5" t="str" cm="1">
        <f t="array" ref="G848">_xlfn.IFS(F848&lt;12,"Child",F848&lt;18,"Teen",F848&lt;25,"Young",F848&lt;40,"Adult",F848&lt;60,"Middle Age",F848&gt;=60,"Old")</f>
        <v>Middle Age</v>
      </c>
      <c r="H848" s="5" t="s">
        <v>2043</v>
      </c>
      <c r="I848" s="5" t="s">
        <v>2051</v>
      </c>
      <c r="J848" s="5" t="s">
        <v>2023</v>
      </c>
      <c r="K848" s="5" t="str">
        <f>VLOOKUP(J848,Sheet2!$A$1:$B$11,2,FALSE)</f>
        <v>Formal Wear</v>
      </c>
      <c r="L848" s="5">
        <v>2</v>
      </c>
      <c r="M848" s="6">
        <v>284</v>
      </c>
      <c r="N848" s="6">
        <v>568</v>
      </c>
      <c r="O848" s="7">
        <v>0.1</v>
      </c>
      <c r="P848" s="8">
        <f t="shared" si="26"/>
        <v>56.800000000000004</v>
      </c>
      <c r="Q848" s="9">
        <f t="shared" si="27"/>
        <v>511.2</v>
      </c>
      <c r="R848" s="5">
        <v>10</v>
      </c>
      <c r="S848" s="5" t="s">
        <v>2033</v>
      </c>
      <c r="T848" s="5" t="s">
        <v>2036</v>
      </c>
    </row>
    <row r="849" spans="1:20" x14ac:dyDescent="0.25">
      <c r="A849" s="5" t="s">
        <v>862</v>
      </c>
      <c r="B849" s="10">
        <v>45665</v>
      </c>
      <c r="C849" s="5" t="s">
        <v>1017</v>
      </c>
      <c r="D849" s="11" t="s">
        <v>1865</v>
      </c>
      <c r="E849" s="5" t="s">
        <v>2897</v>
      </c>
      <c r="F849" s="5">
        <v>24</v>
      </c>
      <c r="G849" s="5" t="str" cm="1">
        <f t="array" ref="G849">_xlfn.IFS(F849&lt;12,"Child",F849&lt;18,"Teen",F849&lt;25,"Young",F849&lt;40,"Adult",F849&lt;60,"Middle Age",F849&gt;=60,"Old")</f>
        <v>Young</v>
      </c>
      <c r="H849" s="5" t="s">
        <v>2044</v>
      </c>
      <c r="I849" s="5" t="s">
        <v>2053</v>
      </c>
      <c r="J849" s="5" t="s">
        <v>2022</v>
      </c>
      <c r="K849" s="5" t="str">
        <f>VLOOKUP(J849,Sheet2!$A$1:$B$11,2,FALSE)</f>
        <v>Sportswear</v>
      </c>
      <c r="L849" s="5">
        <v>3</v>
      </c>
      <c r="M849" s="6">
        <v>1195</v>
      </c>
      <c r="N849" s="6">
        <v>3585</v>
      </c>
      <c r="O849" s="7">
        <v>0.2</v>
      </c>
      <c r="P849" s="8">
        <f t="shared" si="26"/>
        <v>717</v>
      </c>
      <c r="Q849" s="9">
        <f t="shared" si="27"/>
        <v>2868</v>
      </c>
      <c r="R849" s="5">
        <v>57</v>
      </c>
      <c r="S849" s="5" t="s">
        <v>2032</v>
      </c>
      <c r="T849" s="5" t="s">
        <v>2037</v>
      </c>
    </row>
    <row r="850" spans="1:20" x14ac:dyDescent="0.25">
      <c r="A850" s="5" t="s">
        <v>863</v>
      </c>
      <c r="B850" s="10">
        <v>45461</v>
      </c>
      <c r="C850" s="5" t="s">
        <v>1019</v>
      </c>
      <c r="D850" s="11" t="s">
        <v>1866</v>
      </c>
      <c r="E850" s="5" t="s">
        <v>2898</v>
      </c>
      <c r="F850" s="5">
        <v>21</v>
      </c>
      <c r="G850" s="5" t="str" cm="1">
        <f t="array" ref="G850">_xlfn.IFS(F850&lt;12,"Child",F850&lt;18,"Teen",F850&lt;25,"Young",F850&lt;40,"Adult",F850&lt;60,"Middle Age",F850&gt;=60,"Old")</f>
        <v>Young</v>
      </c>
      <c r="H850" s="5" t="s">
        <v>2044</v>
      </c>
      <c r="I850" s="5" t="s">
        <v>2047</v>
      </c>
      <c r="J850" s="5" t="s">
        <v>2016</v>
      </c>
      <c r="K850" s="5" t="str">
        <f>VLOOKUP(J850,Sheet2!$A$1:$B$11,2,FALSE)</f>
        <v>Winter Wear</v>
      </c>
      <c r="L850" s="5">
        <v>4</v>
      </c>
      <c r="M850" s="6">
        <v>522</v>
      </c>
      <c r="N850" s="6">
        <v>2088</v>
      </c>
      <c r="O850" s="7">
        <v>0.2</v>
      </c>
      <c r="P850" s="8">
        <f t="shared" si="26"/>
        <v>417.6</v>
      </c>
      <c r="Q850" s="9">
        <f t="shared" si="27"/>
        <v>1670.4</v>
      </c>
      <c r="R850" s="5">
        <v>33</v>
      </c>
      <c r="S850" s="5" t="s">
        <v>2032</v>
      </c>
      <c r="T850" s="5" t="s">
        <v>2036</v>
      </c>
    </row>
    <row r="851" spans="1:20" x14ac:dyDescent="0.25">
      <c r="A851" s="5" t="s">
        <v>864</v>
      </c>
      <c r="B851" s="10">
        <v>45447</v>
      </c>
      <c r="C851" s="5" t="s">
        <v>1019</v>
      </c>
      <c r="D851" s="11" t="s">
        <v>1867</v>
      </c>
      <c r="E851" s="5" t="s">
        <v>2899</v>
      </c>
      <c r="F851" s="5">
        <v>19</v>
      </c>
      <c r="G851" s="5" t="str" cm="1">
        <f t="array" ref="G851">_xlfn.IFS(F851&lt;12,"Child",F851&lt;18,"Teen",F851&lt;25,"Young",F851&lt;40,"Adult",F851&lt;60,"Middle Age",F851&gt;=60,"Old")</f>
        <v>Young</v>
      </c>
      <c r="H851" s="5" t="s">
        <v>2043</v>
      </c>
      <c r="I851" s="5" t="s">
        <v>2050</v>
      </c>
      <c r="J851" s="5" t="s">
        <v>2016</v>
      </c>
      <c r="K851" s="5" t="str">
        <f>VLOOKUP(J851,Sheet2!$A$1:$B$11,2,FALSE)</f>
        <v>Winter Wear</v>
      </c>
      <c r="L851" s="5">
        <v>4</v>
      </c>
      <c r="M851" s="6">
        <v>1162</v>
      </c>
      <c r="N851" s="6">
        <v>4648</v>
      </c>
      <c r="O851" s="7">
        <v>0.15</v>
      </c>
      <c r="P851" s="8">
        <f t="shared" si="26"/>
        <v>697.19999999999993</v>
      </c>
      <c r="Q851" s="9">
        <f t="shared" si="27"/>
        <v>3950.8</v>
      </c>
      <c r="R851" s="5">
        <v>79</v>
      </c>
      <c r="S851" s="5" t="s">
        <v>2033</v>
      </c>
      <c r="T851" s="5" t="s">
        <v>2035</v>
      </c>
    </row>
    <row r="852" spans="1:20" x14ac:dyDescent="0.25">
      <c r="A852" s="5" t="s">
        <v>865</v>
      </c>
      <c r="B852" s="10">
        <v>45709</v>
      </c>
      <c r="C852" s="5" t="s">
        <v>1014</v>
      </c>
      <c r="D852" s="11" t="s">
        <v>1868</v>
      </c>
      <c r="E852" s="5" t="s">
        <v>2900</v>
      </c>
      <c r="F852" s="5">
        <v>37</v>
      </c>
      <c r="G852" s="5" t="str" cm="1">
        <f t="array" ref="G852">_xlfn.IFS(F852&lt;12,"Child",F852&lt;18,"Teen",F852&lt;25,"Young",F852&lt;40,"Adult",F852&lt;60,"Middle Age",F852&gt;=60,"Old")</f>
        <v>Adult</v>
      </c>
      <c r="H852" s="5" t="s">
        <v>2044</v>
      </c>
      <c r="I852" s="5" t="s">
        <v>2046</v>
      </c>
      <c r="J852" s="5" t="s">
        <v>2016</v>
      </c>
      <c r="K852" s="5" t="str">
        <f>VLOOKUP(J852,Sheet2!$A$1:$B$11,2,FALSE)</f>
        <v>Winter Wear</v>
      </c>
      <c r="L852" s="5">
        <v>3</v>
      </c>
      <c r="M852" s="6">
        <v>551</v>
      </c>
      <c r="N852" s="6">
        <v>1653</v>
      </c>
      <c r="O852" s="7">
        <v>0.15</v>
      </c>
      <c r="P852" s="8">
        <f t="shared" si="26"/>
        <v>247.95</v>
      </c>
      <c r="Q852" s="9">
        <f t="shared" si="27"/>
        <v>1405.05</v>
      </c>
      <c r="R852" s="5">
        <v>28</v>
      </c>
      <c r="S852" s="5" t="s">
        <v>2034</v>
      </c>
      <c r="T852" s="5" t="s">
        <v>2037</v>
      </c>
    </row>
    <row r="853" spans="1:20" x14ac:dyDescent="0.25">
      <c r="A853" s="5" t="s">
        <v>866</v>
      </c>
      <c r="B853" s="10">
        <v>45498</v>
      </c>
      <c r="C853" s="5" t="s">
        <v>1018</v>
      </c>
      <c r="D853" s="11" t="s">
        <v>1869</v>
      </c>
      <c r="E853" s="5" t="s">
        <v>2901</v>
      </c>
      <c r="F853" s="5">
        <v>32</v>
      </c>
      <c r="G853" s="5" t="str" cm="1">
        <f t="array" ref="G853">_xlfn.IFS(F853&lt;12,"Child",F853&lt;18,"Teen",F853&lt;25,"Young",F853&lt;40,"Adult",F853&lt;60,"Middle Age",F853&gt;=60,"Old")</f>
        <v>Adult</v>
      </c>
      <c r="H853" s="5" t="s">
        <v>2043</v>
      </c>
      <c r="I853" s="5" t="s">
        <v>2053</v>
      </c>
      <c r="J853" s="5" t="s">
        <v>2017</v>
      </c>
      <c r="K853" s="5" t="str">
        <f>VLOOKUP(J853,Sheet2!$A$1:$B$11,2,FALSE)</f>
        <v>Casual Wear</v>
      </c>
      <c r="L853" s="5">
        <v>2</v>
      </c>
      <c r="M853" s="6">
        <v>914</v>
      </c>
      <c r="N853" s="6">
        <v>1828</v>
      </c>
      <c r="O853" s="7">
        <v>0.05</v>
      </c>
      <c r="P853" s="8">
        <f t="shared" si="26"/>
        <v>91.4</v>
      </c>
      <c r="Q853" s="9">
        <f t="shared" si="27"/>
        <v>1736.6</v>
      </c>
      <c r="R853" s="5">
        <v>34</v>
      </c>
      <c r="S853" s="5" t="s">
        <v>2033</v>
      </c>
      <c r="T853" s="5" t="s">
        <v>2037</v>
      </c>
    </row>
    <row r="854" spans="1:20" x14ac:dyDescent="0.25">
      <c r="A854" s="5" t="s">
        <v>867</v>
      </c>
      <c r="B854" s="10">
        <v>45359</v>
      </c>
      <c r="C854" s="5" t="s">
        <v>1014</v>
      </c>
      <c r="D854" s="11" t="s">
        <v>1870</v>
      </c>
      <c r="E854" s="5" t="s">
        <v>2902</v>
      </c>
      <c r="F854" s="5">
        <v>21</v>
      </c>
      <c r="G854" s="5" t="str" cm="1">
        <f t="array" ref="G854">_xlfn.IFS(F854&lt;12,"Child",F854&lt;18,"Teen",F854&lt;25,"Young",F854&lt;40,"Adult",F854&lt;60,"Middle Age",F854&gt;=60,"Old")</f>
        <v>Young</v>
      </c>
      <c r="H854" s="5" t="s">
        <v>2044</v>
      </c>
      <c r="I854" s="5" t="s">
        <v>2048</v>
      </c>
      <c r="J854" s="5" t="s">
        <v>2025</v>
      </c>
      <c r="K854" s="5" t="str">
        <f>VLOOKUP(J854,Sheet2!$A$1:$B$11,2,FALSE)</f>
        <v>Formal Wear</v>
      </c>
      <c r="L854" s="5">
        <v>1</v>
      </c>
      <c r="M854" s="6">
        <v>634</v>
      </c>
      <c r="N854" s="6">
        <v>634</v>
      </c>
      <c r="O854" s="7">
        <v>0.05</v>
      </c>
      <c r="P854" s="8">
        <f t="shared" si="26"/>
        <v>31.700000000000003</v>
      </c>
      <c r="Q854" s="9">
        <f t="shared" si="27"/>
        <v>602.29999999999995</v>
      </c>
      <c r="R854" s="5">
        <v>12</v>
      </c>
      <c r="S854" s="5" t="s">
        <v>2033</v>
      </c>
      <c r="T854" s="5" t="s">
        <v>2035</v>
      </c>
    </row>
    <row r="855" spans="1:20" x14ac:dyDescent="0.25">
      <c r="A855" s="5" t="s">
        <v>868</v>
      </c>
      <c r="B855" s="10">
        <v>45497</v>
      </c>
      <c r="C855" s="5" t="s">
        <v>1017</v>
      </c>
      <c r="D855" s="11" t="s">
        <v>1871</v>
      </c>
      <c r="E855" s="5" t="s">
        <v>2903</v>
      </c>
      <c r="F855" s="5">
        <v>52</v>
      </c>
      <c r="G855" s="5" t="str" cm="1">
        <f t="array" ref="G855">_xlfn.IFS(F855&lt;12,"Child",F855&lt;18,"Teen",F855&lt;25,"Young",F855&lt;40,"Adult",F855&lt;60,"Middle Age",F855&gt;=60,"Old")</f>
        <v>Middle Age</v>
      </c>
      <c r="H855" s="5" t="s">
        <v>2044</v>
      </c>
      <c r="I855" s="5" t="s">
        <v>2015</v>
      </c>
      <c r="J855" s="5" t="s">
        <v>2018</v>
      </c>
      <c r="K855" s="5" t="str">
        <f>VLOOKUP(J855,Sheet2!$A$1:$B$11,2,FALSE)</f>
        <v>Sportswear</v>
      </c>
      <c r="L855" s="5">
        <v>1</v>
      </c>
      <c r="M855" s="6">
        <v>288</v>
      </c>
      <c r="N855" s="6">
        <v>288</v>
      </c>
      <c r="O855" s="7">
        <v>0.15</v>
      </c>
      <c r="P855" s="8">
        <f t="shared" si="26"/>
        <v>43.199999999999996</v>
      </c>
      <c r="Q855" s="9">
        <f t="shared" si="27"/>
        <v>244.8</v>
      </c>
      <c r="R855" s="5">
        <v>4</v>
      </c>
      <c r="S855" s="5" t="s">
        <v>2032</v>
      </c>
      <c r="T855" s="5" t="s">
        <v>2036</v>
      </c>
    </row>
    <row r="856" spans="1:20" x14ac:dyDescent="0.25">
      <c r="A856" s="5" t="s">
        <v>869</v>
      </c>
      <c r="B856" s="10">
        <v>45414</v>
      </c>
      <c r="C856" s="5" t="s">
        <v>1018</v>
      </c>
      <c r="D856" s="11" t="s">
        <v>1872</v>
      </c>
      <c r="E856" s="5" t="s">
        <v>2904</v>
      </c>
      <c r="F856" s="5">
        <v>28</v>
      </c>
      <c r="G856" s="5" t="str" cm="1">
        <f t="array" ref="G856">_xlfn.IFS(F856&lt;12,"Child",F856&lt;18,"Teen",F856&lt;25,"Young",F856&lt;40,"Adult",F856&lt;60,"Middle Age",F856&gt;=60,"Old")</f>
        <v>Adult</v>
      </c>
      <c r="H856" s="5" t="s">
        <v>2044</v>
      </c>
      <c r="I856" s="5" t="s">
        <v>2045</v>
      </c>
      <c r="J856" s="5" t="s">
        <v>2023</v>
      </c>
      <c r="K856" s="5" t="str">
        <f>VLOOKUP(J856,Sheet2!$A$1:$B$11,2,FALSE)</f>
        <v>Formal Wear</v>
      </c>
      <c r="L856" s="5">
        <v>4</v>
      </c>
      <c r="M856" s="6">
        <v>678</v>
      </c>
      <c r="N856" s="6">
        <v>2712</v>
      </c>
      <c r="O856" s="7">
        <v>0</v>
      </c>
      <c r="P856" s="8">
        <f t="shared" si="26"/>
        <v>0</v>
      </c>
      <c r="Q856" s="9">
        <f t="shared" si="27"/>
        <v>2712</v>
      </c>
      <c r="R856" s="5">
        <v>54</v>
      </c>
      <c r="S856" s="5" t="s">
        <v>2032</v>
      </c>
      <c r="T856" s="5" t="s">
        <v>2037</v>
      </c>
    </row>
    <row r="857" spans="1:20" x14ac:dyDescent="0.25">
      <c r="A857" s="5" t="s">
        <v>870</v>
      </c>
      <c r="B857" s="10">
        <v>45392</v>
      </c>
      <c r="C857" s="5" t="s">
        <v>1017</v>
      </c>
      <c r="D857" s="11" t="s">
        <v>1873</v>
      </c>
      <c r="E857" s="5" t="s">
        <v>2905</v>
      </c>
      <c r="F857" s="5">
        <v>59</v>
      </c>
      <c r="G857" s="5" t="str" cm="1">
        <f t="array" ref="G857">_xlfn.IFS(F857&lt;12,"Child",F857&lt;18,"Teen",F857&lt;25,"Young",F857&lt;40,"Adult",F857&lt;60,"Middle Age",F857&gt;=60,"Old")</f>
        <v>Middle Age</v>
      </c>
      <c r="H857" s="5" t="s">
        <v>2043</v>
      </c>
      <c r="I857" s="5" t="s">
        <v>2045</v>
      </c>
      <c r="J857" s="5" t="s">
        <v>2020</v>
      </c>
      <c r="K857" s="5" t="str">
        <f>VLOOKUP(J857,Sheet2!$A$1:$B$11,2,FALSE)</f>
        <v>Summer Wear</v>
      </c>
      <c r="L857" s="5">
        <v>3</v>
      </c>
      <c r="M857" s="6">
        <v>504</v>
      </c>
      <c r="N857" s="6">
        <v>1512</v>
      </c>
      <c r="O857" s="7">
        <v>0</v>
      </c>
      <c r="P857" s="8">
        <f t="shared" si="26"/>
        <v>0</v>
      </c>
      <c r="Q857" s="9">
        <f t="shared" si="27"/>
        <v>1512</v>
      </c>
      <c r="R857" s="5">
        <v>30</v>
      </c>
      <c r="S857" s="5" t="s">
        <v>2033</v>
      </c>
      <c r="T857" s="5" t="s">
        <v>2037</v>
      </c>
    </row>
    <row r="858" spans="1:20" x14ac:dyDescent="0.25">
      <c r="A858" s="5" t="s">
        <v>871</v>
      </c>
      <c r="B858" s="10">
        <v>45651</v>
      </c>
      <c r="C858" s="5" t="s">
        <v>1017</v>
      </c>
      <c r="D858" s="11" t="s">
        <v>1874</v>
      </c>
      <c r="E858" s="5" t="s">
        <v>2906</v>
      </c>
      <c r="F858" s="5">
        <v>18</v>
      </c>
      <c r="G858" s="5" t="str" cm="1">
        <f t="array" ref="G858">_xlfn.IFS(F858&lt;12,"Child",F858&lt;18,"Teen",F858&lt;25,"Young",F858&lt;40,"Adult",F858&lt;60,"Middle Age",F858&gt;=60,"Old")</f>
        <v>Young</v>
      </c>
      <c r="H858" s="5" t="s">
        <v>2043</v>
      </c>
      <c r="I858" s="5" t="s">
        <v>2046</v>
      </c>
      <c r="J858" s="5" t="s">
        <v>2018</v>
      </c>
      <c r="K858" s="5" t="str">
        <f>VLOOKUP(J858,Sheet2!$A$1:$B$11,2,FALSE)</f>
        <v>Sportswear</v>
      </c>
      <c r="L858" s="5">
        <v>5</v>
      </c>
      <c r="M858" s="6">
        <v>1063</v>
      </c>
      <c r="N858" s="6">
        <v>5315</v>
      </c>
      <c r="O858" s="7">
        <v>0.15</v>
      </c>
      <c r="P858" s="8">
        <f t="shared" si="26"/>
        <v>797.25</v>
      </c>
      <c r="Q858" s="9">
        <f t="shared" si="27"/>
        <v>4517.75</v>
      </c>
      <c r="R858" s="5">
        <v>90</v>
      </c>
      <c r="S858" s="5" t="s">
        <v>2032</v>
      </c>
      <c r="T858" s="5" t="s">
        <v>2037</v>
      </c>
    </row>
    <row r="859" spans="1:20" x14ac:dyDescent="0.25">
      <c r="A859" s="5" t="s">
        <v>872</v>
      </c>
      <c r="B859" s="10">
        <v>45452</v>
      </c>
      <c r="C859" s="5" t="s">
        <v>1015</v>
      </c>
      <c r="D859" s="11" t="s">
        <v>1875</v>
      </c>
      <c r="E859" s="5" t="s">
        <v>2907</v>
      </c>
      <c r="F859" s="5">
        <v>28</v>
      </c>
      <c r="G859" s="5" t="str" cm="1">
        <f t="array" ref="G859">_xlfn.IFS(F859&lt;12,"Child",F859&lt;18,"Teen",F859&lt;25,"Young",F859&lt;40,"Adult",F859&lt;60,"Middle Age",F859&gt;=60,"Old")</f>
        <v>Adult</v>
      </c>
      <c r="H859" s="5" t="s">
        <v>2043</v>
      </c>
      <c r="I859" s="5" t="s">
        <v>2015</v>
      </c>
      <c r="J859" s="5" t="s">
        <v>2016</v>
      </c>
      <c r="K859" s="5" t="str">
        <f>VLOOKUP(J859,Sheet2!$A$1:$B$11,2,FALSE)</f>
        <v>Winter Wear</v>
      </c>
      <c r="L859" s="5">
        <v>4</v>
      </c>
      <c r="M859" s="6">
        <v>297</v>
      </c>
      <c r="N859" s="6">
        <v>1188</v>
      </c>
      <c r="O859" s="7">
        <v>0.15</v>
      </c>
      <c r="P859" s="8">
        <f t="shared" si="26"/>
        <v>178.2</v>
      </c>
      <c r="Q859" s="9">
        <f t="shared" si="27"/>
        <v>1009.8</v>
      </c>
      <c r="R859" s="5">
        <v>20</v>
      </c>
      <c r="S859" s="5" t="s">
        <v>2033</v>
      </c>
      <c r="T859" s="5" t="s">
        <v>2036</v>
      </c>
    </row>
    <row r="860" spans="1:20" x14ac:dyDescent="0.25">
      <c r="A860" s="5" t="s">
        <v>873</v>
      </c>
      <c r="B860" s="10">
        <v>45402</v>
      </c>
      <c r="C860" s="5" t="s">
        <v>1020</v>
      </c>
      <c r="D860" s="11" t="s">
        <v>1876</v>
      </c>
      <c r="E860" s="5" t="s">
        <v>2908</v>
      </c>
      <c r="F860" s="5">
        <v>46</v>
      </c>
      <c r="G860" s="5" t="str" cm="1">
        <f t="array" ref="G860">_xlfn.IFS(F860&lt;12,"Child",F860&lt;18,"Teen",F860&lt;25,"Young",F860&lt;40,"Adult",F860&lt;60,"Middle Age",F860&gt;=60,"Old")</f>
        <v>Middle Age</v>
      </c>
      <c r="H860" s="5" t="s">
        <v>2044</v>
      </c>
      <c r="I860" s="5" t="s">
        <v>2046</v>
      </c>
      <c r="J860" s="5" t="s">
        <v>2023</v>
      </c>
      <c r="K860" s="5" t="str">
        <f>VLOOKUP(J860,Sheet2!$A$1:$B$11,2,FALSE)</f>
        <v>Formal Wear</v>
      </c>
      <c r="L860" s="5">
        <v>3</v>
      </c>
      <c r="M860" s="6">
        <v>951</v>
      </c>
      <c r="N860" s="6">
        <v>2853</v>
      </c>
      <c r="O860" s="7">
        <v>0.05</v>
      </c>
      <c r="P860" s="8">
        <f t="shared" si="26"/>
        <v>142.65</v>
      </c>
      <c r="Q860" s="9">
        <f t="shared" si="27"/>
        <v>2710.35</v>
      </c>
      <c r="R860" s="5">
        <v>54</v>
      </c>
      <c r="S860" s="5" t="s">
        <v>2033</v>
      </c>
      <c r="T860" s="5" t="s">
        <v>2035</v>
      </c>
    </row>
    <row r="861" spans="1:20" x14ac:dyDescent="0.25">
      <c r="A861" s="5" t="s">
        <v>874</v>
      </c>
      <c r="B861" s="10">
        <v>45648</v>
      </c>
      <c r="C861" s="5" t="s">
        <v>1015</v>
      </c>
      <c r="D861" s="11" t="s">
        <v>1877</v>
      </c>
      <c r="E861" s="5" t="s">
        <v>2909</v>
      </c>
      <c r="F861" s="5">
        <v>37</v>
      </c>
      <c r="G861" s="5" t="str" cm="1">
        <f t="array" ref="G861">_xlfn.IFS(F861&lt;12,"Child",F861&lt;18,"Teen",F861&lt;25,"Young",F861&lt;40,"Adult",F861&lt;60,"Middle Age",F861&gt;=60,"Old")</f>
        <v>Adult</v>
      </c>
      <c r="H861" s="5" t="s">
        <v>2044</v>
      </c>
      <c r="I861" s="5" t="s">
        <v>2050</v>
      </c>
      <c r="J861" s="5" t="s">
        <v>2019</v>
      </c>
      <c r="K861" s="5" t="str">
        <f>VLOOKUP(J861,Sheet2!$A$1:$B$11,2,FALSE)</f>
        <v>Formal Wear</v>
      </c>
      <c r="L861" s="5">
        <v>5</v>
      </c>
      <c r="M861" s="6">
        <v>366</v>
      </c>
      <c r="N861" s="6">
        <v>1830</v>
      </c>
      <c r="O861" s="7">
        <v>0.2</v>
      </c>
      <c r="P861" s="8">
        <f t="shared" si="26"/>
        <v>366</v>
      </c>
      <c r="Q861" s="9">
        <f t="shared" si="27"/>
        <v>1464</v>
      </c>
      <c r="R861" s="5">
        <v>29</v>
      </c>
      <c r="S861" s="5" t="s">
        <v>2032</v>
      </c>
      <c r="T861" s="5" t="s">
        <v>2035</v>
      </c>
    </row>
    <row r="862" spans="1:20" x14ac:dyDescent="0.25">
      <c r="A862" s="5" t="s">
        <v>875</v>
      </c>
      <c r="B862" s="10">
        <v>45418</v>
      </c>
      <c r="C862" s="5" t="s">
        <v>1016</v>
      </c>
      <c r="D862" s="11" t="s">
        <v>1878</v>
      </c>
      <c r="E862" s="5" t="s">
        <v>2910</v>
      </c>
      <c r="F862" s="5">
        <v>31</v>
      </c>
      <c r="G862" s="5" t="str" cm="1">
        <f t="array" ref="G862">_xlfn.IFS(F862&lt;12,"Child",F862&lt;18,"Teen",F862&lt;25,"Young",F862&lt;40,"Adult",F862&lt;60,"Middle Age",F862&gt;=60,"Old")</f>
        <v>Adult</v>
      </c>
      <c r="H862" s="5" t="s">
        <v>2043</v>
      </c>
      <c r="I862" s="5" t="s">
        <v>2045</v>
      </c>
      <c r="J862" s="5" t="s">
        <v>2018</v>
      </c>
      <c r="K862" s="5" t="str">
        <f>VLOOKUP(J862,Sheet2!$A$1:$B$11,2,FALSE)</f>
        <v>Sportswear</v>
      </c>
      <c r="L862" s="5">
        <v>2</v>
      </c>
      <c r="M862" s="6">
        <v>260</v>
      </c>
      <c r="N862" s="6">
        <v>520</v>
      </c>
      <c r="O862" s="7">
        <v>0.15</v>
      </c>
      <c r="P862" s="8">
        <f t="shared" si="26"/>
        <v>78</v>
      </c>
      <c r="Q862" s="9">
        <f t="shared" si="27"/>
        <v>442</v>
      </c>
      <c r="R862" s="5">
        <v>8</v>
      </c>
      <c r="S862" s="5" t="s">
        <v>2033</v>
      </c>
      <c r="T862" s="5" t="s">
        <v>2037</v>
      </c>
    </row>
    <row r="863" spans="1:20" x14ac:dyDescent="0.25">
      <c r="A863" s="5" t="s">
        <v>876</v>
      </c>
      <c r="B863" s="10">
        <v>45603</v>
      </c>
      <c r="C863" s="5" t="s">
        <v>1018</v>
      </c>
      <c r="D863" s="11" t="s">
        <v>1879</v>
      </c>
      <c r="E863" s="5" t="s">
        <v>2911</v>
      </c>
      <c r="F863" s="5">
        <v>53</v>
      </c>
      <c r="G863" s="5" t="str" cm="1">
        <f t="array" ref="G863">_xlfn.IFS(F863&lt;12,"Child",F863&lt;18,"Teen",F863&lt;25,"Young",F863&lt;40,"Adult",F863&lt;60,"Middle Age",F863&gt;=60,"Old")</f>
        <v>Middle Age</v>
      </c>
      <c r="H863" s="5" t="s">
        <v>2044</v>
      </c>
      <c r="I863" s="5" t="s">
        <v>2015</v>
      </c>
      <c r="J863" s="5" t="s">
        <v>2017</v>
      </c>
      <c r="K863" s="5" t="str">
        <f>VLOOKUP(J863,Sheet2!$A$1:$B$11,2,FALSE)</f>
        <v>Casual Wear</v>
      </c>
      <c r="L863" s="5">
        <v>3</v>
      </c>
      <c r="M863" s="6">
        <v>760</v>
      </c>
      <c r="N863" s="6">
        <v>2280</v>
      </c>
      <c r="O863" s="7">
        <v>0.15</v>
      </c>
      <c r="P863" s="8">
        <f t="shared" si="26"/>
        <v>342</v>
      </c>
      <c r="Q863" s="9">
        <f t="shared" si="27"/>
        <v>1938</v>
      </c>
      <c r="R863" s="5">
        <v>38</v>
      </c>
      <c r="S863" s="5" t="s">
        <v>2032</v>
      </c>
      <c r="T863" s="5" t="s">
        <v>2037</v>
      </c>
    </row>
    <row r="864" spans="1:20" x14ac:dyDescent="0.25">
      <c r="A864" s="5" t="s">
        <v>877</v>
      </c>
      <c r="B864" s="10">
        <v>45716</v>
      </c>
      <c r="C864" s="5" t="s">
        <v>1014</v>
      </c>
      <c r="D864" s="11" t="s">
        <v>1880</v>
      </c>
      <c r="E864" s="5" t="s">
        <v>2912</v>
      </c>
      <c r="F864" s="5">
        <v>23</v>
      </c>
      <c r="G864" s="5" t="str" cm="1">
        <f t="array" ref="G864">_xlfn.IFS(F864&lt;12,"Child",F864&lt;18,"Teen",F864&lt;25,"Young",F864&lt;40,"Adult",F864&lt;60,"Middle Age",F864&gt;=60,"Old")</f>
        <v>Young</v>
      </c>
      <c r="H864" s="5" t="s">
        <v>2043</v>
      </c>
      <c r="I864" s="5" t="s">
        <v>2048</v>
      </c>
      <c r="J864" s="5" t="s">
        <v>2020</v>
      </c>
      <c r="K864" s="5" t="str">
        <f>VLOOKUP(J864,Sheet2!$A$1:$B$11,2,FALSE)</f>
        <v>Summer Wear</v>
      </c>
      <c r="L864" s="5">
        <v>5</v>
      </c>
      <c r="M864" s="6">
        <v>720</v>
      </c>
      <c r="N864" s="6">
        <v>3600</v>
      </c>
      <c r="O864" s="7">
        <v>0.05</v>
      </c>
      <c r="P864" s="8">
        <f t="shared" si="26"/>
        <v>180</v>
      </c>
      <c r="Q864" s="9">
        <f t="shared" si="27"/>
        <v>3420</v>
      </c>
      <c r="R864" s="5">
        <v>68</v>
      </c>
      <c r="S864" s="5" t="s">
        <v>2033</v>
      </c>
      <c r="T864" s="5" t="s">
        <v>2036</v>
      </c>
    </row>
    <row r="865" spans="1:20" x14ac:dyDescent="0.25">
      <c r="A865" s="5" t="s">
        <v>878</v>
      </c>
      <c r="B865" s="10">
        <v>45356</v>
      </c>
      <c r="C865" s="5" t="s">
        <v>1019</v>
      </c>
      <c r="D865" s="11" t="s">
        <v>1881</v>
      </c>
      <c r="E865" s="5" t="s">
        <v>2913</v>
      </c>
      <c r="F865" s="5">
        <v>23</v>
      </c>
      <c r="G865" s="5" t="str" cm="1">
        <f t="array" ref="G865">_xlfn.IFS(F865&lt;12,"Child",F865&lt;18,"Teen",F865&lt;25,"Young",F865&lt;40,"Adult",F865&lt;60,"Middle Age",F865&gt;=60,"Old")</f>
        <v>Young</v>
      </c>
      <c r="H865" s="5" t="s">
        <v>2043</v>
      </c>
      <c r="I865" s="5" t="s">
        <v>2015</v>
      </c>
      <c r="J865" s="5" t="s">
        <v>2022</v>
      </c>
      <c r="K865" s="5" t="str">
        <f>VLOOKUP(J865,Sheet2!$A$1:$B$11,2,FALSE)</f>
        <v>Sportswear</v>
      </c>
      <c r="L865" s="5">
        <v>3</v>
      </c>
      <c r="M865" s="6">
        <v>1167</v>
      </c>
      <c r="N865" s="6">
        <v>3501</v>
      </c>
      <c r="O865" s="7">
        <v>0.05</v>
      </c>
      <c r="P865" s="8">
        <f t="shared" si="26"/>
        <v>175.05</v>
      </c>
      <c r="Q865" s="9">
        <f t="shared" si="27"/>
        <v>3325.95</v>
      </c>
      <c r="R865" s="5">
        <v>66</v>
      </c>
      <c r="S865" s="5" t="s">
        <v>2034</v>
      </c>
      <c r="T865" s="5" t="s">
        <v>2035</v>
      </c>
    </row>
    <row r="866" spans="1:20" x14ac:dyDescent="0.25">
      <c r="A866" s="5" t="s">
        <v>879</v>
      </c>
      <c r="B866" s="10">
        <v>45500</v>
      </c>
      <c r="C866" s="5" t="s">
        <v>1020</v>
      </c>
      <c r="D866" s="11" t="s">
        <v>1882</v>
      </c>
      <c r="E866" s="5" t="s">
        <v>2914</v>
      </c>
      <c r="F866" s="5">
        <v>38</v>
      </c>
      <c r="G866" s="5" t="str" cm="1">
        <f t="array" ref="G866">_xlfn.IFS(F866&lt;12,"Child",F866&lt;18,"Teen",F866&lt;25,"Young",F866&lt;40,"Adult",F866&lt;60,"Middle Age",F866&gt;=60,"Old")</f>
        <v>Adult</v>
      </c>
      <c r="H866" s="5" t="s">
        <v>2044</v>
      </c>
      <c r="I866" s="5" t="s">
        <v>2048</v>
      </c>
      <c r="J866" s="5" t="s">
        <v>2019</v>
      </c>
      <c r="K866" s="5" t="str">
        <f>VLOOKUP(J866,Sheet2!$A$1:$B$11,2,FALSE)</f>
        <v>Formal Wear</v>
      </c>
      <c r="L866" s="5">
        <v>1</v>
      </c>
      <c r="M866" s="6">
        <v>224</v>
      </c>
      <c r="N866" s="6">
        <v>224</v>
      </c>
      <c r="O866" s="7">
        <v>0</v>
      </c>
      <c r="P866" s="8">
        <f t="shared" si="26"/>
        <v>0</v>
      </c>
      <c r="Q866" s="9">
        <f t="shared" si="27"/>
        <v>224</v>
      </c>
      <c r="R866" s="5">
        <v>4</v>
      </c>
      <c r="S866" s="5" t="s">
        <v>2034</v>
      </c>
      <c r="T866" s="5" t="s">
        <v>2037</v>
      </c>
    </row>
    <row r="867" spans="1:20" x14ac:dyDescent="0.25">
      <c r="A867" s="5" t="s">
        <v>880</v>
      </c>
      <c r="B867" s="10">
        <v>45539</v>
      </c>
      <c r="C867" s="5" t="s">
        <v>1017</v>
      </c>
      <c r="D867" s="11" t="s">
        <v>1883</v>
      </c>
      <c r="E867" s="5" t="s">
        <v>2915</v>
      </c>
      <c r="F867" s="5">
        <v>52</v>
      </c>
      <c r="G867" s="5" t="str" cm="1">
        <f t="array" ref="G867">_xlfn.IFS(F867&lt;12,"Child",F867&lt;18,"Teen",F867&lt;25,"Young",F867&lt;40,"Adult",F867&lt;60,"Middle Age",F867&gt;=60,"Old")</f>
        <v>Middle Age</v>
      </c>
      <c r="H867" s="5" t="s">
        <v>2043</v>
      </c>
      <c r="I867" s="5" t="s">
        <v>2047</v>
      </c>
      <c r="J867" s="5" t="s">
        <v>2020</v>
      </c>
      <c r="K867" s="5" t="str">
        <f>VLOOKUP(J867,Sheet2!$A$1:$B$11,2,FALSE)</f>
        <v>Summer Wear</v>
      </c>
      <c r="L867" s="5">
        <v>5</v>
      </c>
      <c r="M867" s="6">
        <v>903</v>
      </c>
      <c r="N867" s="6">
        <v>4515</v>
      </c>
      <c r="O867" s="7">
        <v>0.2</v>
      </c>
      <c r="P867" s="8">
        <f t="shared" si="26"/>
        <v>903</v>
      </c>
      <c r="Q867" s="9">
        <f t="shared" si="27"/>
        <v>3612</v>
      </c>
      <c r="R867" s="5">
        <v>72</v>
      </c>
      <c r="S867" s="5" t="s">
        <v>2033</v>
      </c>
      <c r="T867" s="5" t="s">
        <v>2035</v>
      </c>
    </row>
    <row r="868" spans="1:20" x14ac:dyDescent="0.25">
      <c r="A868" s="5" t="s">
        <v>881</v>
      </c>
      <c r="B868" s="10">
        <v>45549</v>
      </c>
      <c r="C868" s="5" t="s">
        <v>1020</v>
      </c>
      <c r="D868" s="11" t="s">
        <v>1884</v>
      </c>
      <c r="E868" s="5" t="s">
        <v>2916</v>
      </c>
      <c r="F868" s="5">
        <v>50</v>
      </c>
      <c r="G868" s="5" t="str" cm="1">
        <f t="array" ref="G868">_xlfn.IFS(F868&lt;12,"Child",F868&lt;18,"Teen",F868&lt;25,"Young",F868&lt;40,"Adult",F868&lt;60,"Middle Age",F868&gt;=60,"Old")</f>
        <v>Middle Age</v>
      </c>
      <c r="H868" s="5" t="s">
        <v>2044</v>
      </c>
      <c r="I868" s="5" t="s">
        <v>2051</v>
      </c>
      <c r="J868" s="5" t="s">
        <v>2023</v>
      </c>
      <c r="K868" s="5" t="str">
        <f>VLOOKUP(J868,Sheet2!$A$1:$B$11,2,FALSE)</f>
        <v>Formal Wear</v>
      </c>
      <c r="L868" s="5">
        <v>3</v>
      </c>
      <c r="M868" s="6">
        <v>160</v>
      </c>
      <c r="N868" s="6">
        <v>480</v>
      </c>
      <c r="O868" s="7">
        <v>0.05</v>
      </c>
      <c r="P868" s="8">
        <f t="shared" si="26"/>
        <v>24</v>
      </c>
      <c r="Q868" s="9">
        <f t="shared" si="27"/>
        <v>456</v>
      </c>
      <c r="R868" s="5">
        <v>9</v>
      </c>
      <c r="S868" s="5" t="s">
        <v>2033</v>
      </c>
      <c r="T868" s="5" t="s">
        <v>2037</v>
      </c>
    </row>
    <row r="869" spans="1:20" x14ac:dyDescent="0.25">
      <c r="A869" s="5" t="s">
        <v>882</v>
      </c>
      <c r="B869" s="10">
        <v>45416</v>
      </c>
      <c r="C869" s="5" t="s">
        <v>1020</v>
      </c>
      <c r="D869" s="11" t="s">
        <v>1885</v>
      </c>
      <c r="E869" s="5" t="s">
        <v>2455</v>
      </c>
      <c r="F869" s="5">
        <v>28</v>
      </c>
      <c r="G869" s="5" t="str" cm="1">
        <f t="array" ref="G869">_xlfn.IFS(F869&lt;12,"Child",F869&lt;18,"Teen",F869&lt;25,"Young",F869&lt;40,"Adult",F869&lt;60,"Middle Age",F869&gt;=60,"Old")</f>
        <v>Adult</v>
      </c>
      <c r="H869" s="5" t="s">
        <v>2044</v>
      </c>
      <c r="I869" s="5" t="s">
        <v>2053</v>
      </c>
      <c r="J869" s="5" t="s">
        <v>2024</v>
      </c>
      <c r="K869" s="5" t="str">
        <f>VLOOKUP(J869,Sheet2!$A$1:$B$11,2,FALSE)</f>
        <v>Fashion Accessories</v>
      </c>
      <c r="L869" s="5">
        <v>5</v>
      </c>
      <c r="M869" s="6">
        <v>265</v>
      </c>
      <c r="N869" s="6">
        <v>1325</v>
      </c>
      <c r="O869" s="7">
        <v>0</v>
      </c>
      <c r="P869" s="8">
        <f t="shared" si="26"/>
        <v>0</v>
      </c>
      <c r="Q869" s="9">
        <f t="shared" si="27"/>
        <v>1325</v>
      </c>
      <c r="R869" s="5">
        <v>26</v>
      </c>
      <c r="S869" s="5" t="s">
        <v>2032</v>
      </c>
      <c r="T869" s="5" t="s">
        <v>2036</v>
      </c>
    </row>
    <row r="870" spans="1:20" x14ac:dyDescent="0.25">
      <c r="A870" s="5" t="s">
        <v>883</v>
      </c>
      <c r="B870" s="10">
        <v>45455</v>
      </c>
      <c r="C870" s="5" t="s">
        <v>1017</v>
      </c>
      <c r="D870" s="11" t="s">
        <v>1886</v>
      </c>
      <c r="E870" s="5" t="s">
        <v>2917</v>
      </c>
      <c r="F870" s="5">
        <v>59</v>
      </c>
      <c r="G870" s="5" t="str" cm="1">
        <f t="array" ref="G870">_xlfn.IFS(F870&lt;12,"Child",F870&lt;18,"Teen",F870&lt;25,"Young",F870&lt;40,"Adult",F870&lt;60,"Middle Age",F870&gt;=60,"Old")</f>
        <v>Middle Age</v>
      </c>
      <c r="H870" s="5" t="s">
        <v>2044</v>
      </c>
      <c r="I870" s="5" t="s">
        <v>2051</v>
      </c>
      <c r="J870" s="5" t="s">
        <v>2018</v>
      </c>
      <c r="K870" s="5" t="str">
        <f>VLOOKUP(J870,Sheet2!$A$1:$B$11,2,FALSE)</f>
        <v>Sportswear</v>
      </c>
      <c r="L870" s="5">
        <v>2</v>
      </c>
      <c r="M870" s="6">
        <v>1080</v>
      </c>
      <c r="N870" s="6">
        <v>2160</v>
      </c>
      <c r="O870" s="7">
        <v>0.1</v>
      </c>
      <c r="P870" s="8">
        <f t="shared" si="26"/>
        <v>216</v>
      </c>
      <c r="Q870" s="9">
        <f t="shared" si="27"/>
        <v>1944</v>
      </c>
      <c r="R870" s="5">
        <v>38</v>
      </c>
      <c r="S870" s="5" t="s">
        <v>2033</v>
      </c>
      <c r="T870" s="5" t="s">
        <v>2035</v>
      </c>
    </row>
    <row r="871" spans="1:20" x14ac:dyDescent="0.25">
      <c r="A871" s="5" t="s">
        <v>884</v>
      </c>
      <c r="B871" s="10">
        <v>45488</v>
      </c>
      <c r="C871" s="5" t="s">
        <v>1016</v>
      </c>
      <c r="D871" s="11" t="s">
        <v>1887</v>
      </c>
      <c r="E871" s="5" t="s">
        <v>2918</v>
      </c>
      <c r="F871" s="5">
        <v>39</v>
      </c>
      <c r="G871" s="5" t="str" cm="1">
        <f t="array" ref="G871">_xlfn.IFS(F871&lt;12,"Child",F871&lt;18,"Teen",F871&lt;25,"Young",F871&lt;40,"Adult",F871&lt;60,"Middle Age",F871&gt;=60,"Old")</f>
        <v>Adult</v>
      </c>
      <c r="H871" s="5" t="s">
        <v>2043</v>
      </c>
      <c r="I871" s="5" t="s">
        <v>2053</v>
      </c>
      <c r="J871" s="5" t="s">
        <v>2022</v>
      </c>
      <c r="K871" s="5" t="str">
        <f>VLOOKUP(J871,Sheet2!$A$1:$B$11,2,FALSE)</f>
        <v>Sportswear</v>
      </c>
      <c r="L871" s="5">
        <v>5</v>
      </c>
      <c r="M871" s="6">
        <v>494</v>
      </c>
      <c r="N871" s="6">
        <v>2470</v>
      </c>
      <c r="O871" s="7">
        <v>0.15</v>
      </c>
      <c r="P871" s="8">
        <f t="shared" si="26"/>
        <v>370.5</v>
      </c>
      <c r="Q871" s="9">
        <f t="shared" si="27"/>
        <v>2099.5</v>
      </c>
      <c r="R871" s="5">
        <v>41</v>
      </c>
      <c r="S871" s="5" t="s">
        <v>2032</v>
      </c>
      <c r="T871" s="5" t="s">
        <v>2035</v>
      </c>
    </row>
    <row r="872" spans="1:20" x14ac:dyDescent="0.25">
      <c r="A872" s="5" t="s">
        <v>885</v>
      </c>
      <c r="B872" s="10">
        <v>45713</v>
      </c>
      <c r="C872" s="5" t="s">
        <v>1019</v>
      </c>
      <c r="D872" s="11" t="s">
        <v>1888</v>
      </c>
      <c r="E872" s="5" t="s">
        <v>2919</v>
      </c>
      <c r="F872" s="5">
        <v>20</v>
      </c>
      <c r="G872" s="5" t="str" cm="1">
        <f t="array" ref="G872">_xlfn.IFS(F872&lt;12,"Child",F872&lt;18,"Teen",F872&lt;25,"Young",F872&lt;40,"Adult",F872&lt;60,"Middle Age",F872&gt;=60,"Old")</f>
        <v>Young</v>
      </c>
      <c r="H872" s="5" t="s">
        <v>2043</v>
      </c>
      <c r="I872" s="5" t="s">
        <v>2046</v>
      </c>
      <c r="J872" s="5" t="s">
        <v>2021</v>
      </c>
      <c r="K872" s="5" t="str">
        <f>VLOOKUP(J872,Sheet2!$A$1:$B$11,2,FALSE)</f>
        <v>Casual Wear</v>
      </c>
      <c r="L872" s="5">
        <v>3</v>
      </c>
      <c r="M872" s="6">
        <v>811</v>
      </c>
      <c r="N872" s="6">
        <v>2433</v>
      </c>
      <c r="O872" s="7">
        <v>0</v>
      </c>
      <c r="P872" s="8">
        <f t="shared" si="26"/>
        <v>0</v>
      </c>
      <c r="Q872" s="9">
        <f t="shared" si="27"/>
        <v>2433</v>
      </c>
      <c r="R872" s="5">
        <v>48</v>
      </c>
      <c r="S872" s="5" t="s">
        <v>2032</v>
      </c>
      <c r="T872" s="5" t="s">
        <v>2036</v>
      </c>
    </row>
    <row r="873" spans="1:20" x14ac:dyDescent="0.25">
      <c r="A873" s="5" t="s">
        <v>886</v>
      </c>
      <c r="B873" s="10">
        <v>45687</v>
      </c>
      <c r="C873" s="5" t="s">
        <v>1018</v>
      </c>
      <c r="D873" s="11" t="s">
        <v>1889</v>
      </c>
      <c r="E873" s="5" t="s">
        <v>2920</v>
      </c>
      <c r="F873" s="5">
        <v>23</v>
      </c>
      <c r="G873" s="5" t="str" cm="1">
        <f t="array" ref="G873">_xlfn.IFS(F873&lt;12,"Child",F873&lt;18,"Teen",F873&lt;25,"Young",F873&lt;40,"Adult",F873&lt;60,"Middle Age",F873&gt;=60,"Old")</f>
        <v>Young</v>
      </c>
      <c r="H873" s="5" t="s">
        <v>2043</v>
      </c>
      <c r="I873" s="5" t="s">
        <v>2048</v>
      </c>
      <c r="J873" s="5" t="s">
        <v>2022</v>
      </c>
      <c r="K873" s="5" t="str">
        <f>VLOOKUP(J873,Sheet2!$A$1:$B$11,2,FALSE)</f>
        <v>Sportswear</v>
      </c>
      <c r="L873" s="5">
        <v>1</v>
      </c>
      <c r="M873" s="6">
        <v>851</v>
      </c>
      <c r="N873" s="6">
        <v>851</v>
      </c>
      <c r="O873" s="7">
        <v>0.05</v>
      </c>
      <c r="P873" s="8">
        <f t="shared" si="26"/>
        <v>42.550000000000004</v>
      </c>
      <c r="Q873" s="9">
        <f t="shared" si="27"/>
        <v>808.45</v>
      </c>
      <c r="R873" s="5">
        <v>16</v>
      </c>
      <c r="S873" s="5" t="s">
        <v>2033</v>
      </c>
      <c r="T873" s="5" t="s">
        <v>2037</v>
      </c>
    </row>
    <row r="874" spans="1:20" x14ac:dyDescent="0.25">
      <c r="A874" s="5" t="s">
        <v>887</v>
      </c>
      <c r="B874" s="10">
        <v>45625</v>
      </c>
      <c r="C874" s="5" t="s">
        <v>1014</v>
      </c>
      <c r="D874" s="11" t="s">
        <v>1890</v>
      </c>
      <c r="E874" s="5" t="s">
        <v>2921</v>
      </c>
      <c r="F874" s="5">
        <v>52</v>
      </c>
      <c r="G874" s="5" t="str" cm="1">
        <f t="array" ref="G874">_xlfn.IFS(F874&lt;12,"Child",F874&lt;18,"Teen",F874&lt;25,"Young",F874&lt;40,"Adult",F874&lt;60,"Middle Age",F874&gt;=60,"Old")</f>
        <v>Middle Age</v>
      </c>
      <c r="H874" s="5" t="s">
        <v>2044</v>
      </c>
      <c r="I874" s="5" t="s">
        <v>2053</v>
      </c>
      <c r="J874" s="5" t="s">
        <v>2019</v>
      </c>
      <c r="K874" s="5" t="str">
        <f>VLOOKUP(J874,Sheet2!$A$1:$B$11,2,FALSE)</f>
        <v>Formal Wear</v>
      </c>
      <c r="L874" s="5">
        <v>2</v>
      </c>
      <c r="M874" s="6">
        <v>275</v>
      </c>
      <c r="N874" s="6">
        <v>550</v>
      </c>
      <c r="O874" s="7">
        <v>0.15</v>
      </c>
      <c r="P874" s="8">
        <f t="shared" si="26"/>
        <v>82.5</v>
      </c>
      <c r="Q874" s="9">
        <f t="shared" si="27"/>
        <v>467.5</v>
      </c>
      <c r="R874" s="5">
        <v>9</v>
      </c>
      <c r="S874" s="5" t="s">
        <v>2033</v>
      </c>
      <c r="T874" s="5" t="s">
        <v>2036</v>
      </c>
    </row>
    <row r="875" spans="1:20" x14ac:dyDescent="0.25">
      <c r="A875" s="5" t="s">
        <v>888</v>
      </c>
      <c r="B875" s="10">
        <v>45688</v>
      </c>
      <c r="C875" s="5" t="s">
        <v>1014</v>
      </c>
      <c r="D875" s="11" t="s">
        <v>1891</v>
      </c>
      <c r="E875" s="5" t="s">
        <v>2922</v>
      </c>
      <c r="F875" s="5">
        <v>50</v>
      </c>
      <c r="G875" s="5" t="str" cm="1">
        <f t="array" ref="G875">_xlfn.IFS(F875&lt;12,"Child",F875&lt;18,"Teen",F875&lt;25,"Young",F875&lt;40,"Adult",F875&lt;60,"Middle Age",F875&gt;=60,"Old")</f>
        <v>Middle Age</v>
      </c>
      <c r="H875" s="5" t="s">
        <v>2044</v>
      </c>
      <c r="I875" s="5" t="s">
        <v>2051</v>
      </c>
      <c r="J875" s="5" t="s">
        <v>2020</v>
      </c>
      <c r="K875" s="5" t="str">
        <f>VLOOKUP(J875,Sheet2!$A$1:$B$11,2,FALSE)</f>
        <v>Summer Wear</v>
      </c>
      <c r="L875" s="5">
        <v>4</v>
      </c>
      <c r="M875" s="6">
        <v>1030</v>
      </c>
      <c r="N875" s="6">
        <v>4120</v>
      </c>
      <c r="O875" s="7">
        <v>0</v>
      </c>
      <c r="P875" s="8">
        <f t="shared" si="26"/>
        <v>0</v>
      </c>
      <c r="Q875" s="9">
        <f t="shared" si="27"/>
        <v>4120</v>
      </c>
      <c r="R875" s="5">
        <v>82</v>
      </c>
      <c r="S875" s="5" t="s">
        <v>2032</v>
      </c>
      <c r="T875" s="5" t="s">
        <v>2035</v>
      </c>
    </row>
    <row r="876" spans="1:20" x14ac:dyDescent="0.25">
      <c r="A876" s="5" t="s">
        <v>889</v>
      </c>
      <c r="B876" s="10">
        <v>45585</v>
      </c>
      <c r="C876" s="5" t="s">
        <v>1015</v>
      </c>
      <c r="D876" s="11" t="s">
        <v>1892</v>
      </c>
      <c r="E876" s="5" t="s">
        <v>2923</v>
      </c>
      <c r="F876" s="5">
        <v>50</v>
      </c>
      <c r="G876" s="5" t="str" cm="1">
        <f t="array" ref="G876">_xlfn.IFS(F876&lt;12,"Child",F876&lt;18,"Teen",F876&lt;25,"Young",F876&lt;40,"Adult",F876&lt;60,"Middle Age",F876&gt;=60,"Old")</f>
        <v>Middle Age</v>
      </c>
      <c r="H876" s="5" t="s">
        <v>2044</v>
      </c>
      <c r="I876" s="5" t="s">
        <v>2045</v>
      </c>
      <c r="J876" s="5" t="s">
        <v>2021</v>
      </c>
      <c r="K876" s="5" t="str">
        <f>VLOOKUP(J876,Sheet2!$A$1:$B$11,2,FALSE)</f>
        <v>Casual Wear</v>
      </c>
      <c r="L876" s="5">
        <v>5</v>
      </c>
      <c r="M876" s="6">
        <v>720</v>
      </c>
      <c r="N876" s="6">
        <v>3600</v>
      </c>
      <c r="O876" s="7">
        <v>0.15</v>
      </c>
      <c r="P876" s="8">
        <f t="shared" si="26"/>
        <v>540</v>
      </c>
      <c r="Q876" s="9">
        <f t="shared" si="27"/>
        <v>3060</v>
      </c>
      <c r="R876" s="5">
        <v>61</v>
      </c>
      <c r="S876" s="5" t="s">
        <v>2034</v>
      </c>
      <c r="T876" s="5" t="s">
        <v>2037</v>
      </c>
    </row>
    <row r="877" spans="1:20" x14ac:dyDescent="0.25">
      <c r="A877" s="5" t="s">
        <v>890</v>
      </c>
      <c r="B877" s="10">
        <v>45606</v>
      </c>
      <c r="C877" s="5" t="s">
        <v>1015</v>
      </c>
      <c r="D877" s="11" t="s">
        <v>1893</v>
      </c>
      <c r="E877" s="5" t="s">
        <v>2924</v>
      </c>
      <c r="F877" s="5">
        <v>54</v>
      </c>
      <c r="G877" s="5" t="str" cm="1">
        <f t="array" ref="G877">_xlfn.IFS(F877&lt;12,"Child",F877&lt;18,"Teen",F877&lt;25,"Young",F877&lt;40,"Adult",F877&lt;60,"Middle Age",F877&gt;=60,"Old")</f>
        <v>Middle Age</v>
      </c>
      <c r="H877" s="5" t="s">
        <v>2044</v>
      </c>
      <c r="I877" s="5" t="s">
        <v>2046</v>
      </c>
      <c r="J877" s="5" t="s">
        <v>2016</v>
      </c>
      <c r="K877" s="5" t="str">
        <f>VLOOKUP(J877,Sheet2!$A$1:$B$11,2,FALSE)</f>
        <v>Winter Wear</v>
      </c>
      <c r="L877" s="5">
        <v>3</v>
      </c>
      <c r="M877" s="6">
        <v>526</v>
      </c>
      <c r="N877" s="6">
        <v>1578</v>
      </c>
      <c r="O877" s="7">
        <v>0.15</v>
      </c>
      <c r="P877" s="8">
        <f t="shared" si="26"/>
        <v>236.7</v>
      </c>
      <c r="Q877" s="9">
        <f t="shared" si="27"/>
        <v>1341.3</v>
      </c>
      <c r="R877" s="5">
        <v>26</v>
      </c>
      <c r="S877" s="5" t="s">
        <v>2032</v>
      </c>
      <c r="T877" s="5" t="s">
        <v>2036</v>
      </c>
    </row>
    <row r="878" spans="1:20" x14ac:dyDescent="0.25">
      <c r="A878" s="5" t="s">
        <v>891</v>
      </c>
      <c r="B878" s="10">
        <v>45621</v>
      </c>
      <c r="C878" s="5" t="s">
        <v>1016</v>
      </c>
      <c r="D878" s="11" t="s">
        <v>1894</v>
      </c>
      <c r="E878" s="5" t="s">
        <v>2925</v>
      </c>
      <c r="F878" s="5">
        <v>34</v>
      </c>
      <c r="G878" s="5" t="str" cm="1">
        <f t="array" ref="G878">_xlfn.IFS(F878&lt;12,"Child",F878&lt;18,"Teen",F878&lt;25,"Young",F878&lt;40,"Adult",F878&lt;60,"Middle Age",F878&gt;=60,"Old")</f>
        <v>Adult</v>
      </c>
      <c r="H878" s="5" t="s">
        <v>2043</v>
      </c>
      <c r="I878" s="5" t="s">
        <v>2051</v>
      </c>
      <c r="J878" s="5" t="s">
        <v>2020</v>
      </c>
      <c r="K878" s="5" t="str">
        <f>VLOOKUP(J878,Sheet2!$A$1:$B$11,2,FALSE)</f>
        <v>Summer Wear</v>
      </c>
      <c r="L878" s="5">
        <v>5</v>
      </c>
      <c r="M878" s="6">
        <v>974</v>
      </c>
      <c r="N878" s="6">
        <v>4870</v>
      </c>
      <c r="O878" s="7">
        <v>0.15</v>
      </c>
      <c r="P878" s="8">
        <f t="shared" si="26"/>
        <v>730.5</v>
      </c>
      <c r="Q878" s="9">
        <f t="shared" si="27"/>
        <v>4139.5</v>
      </c>
      <c r="R878" s="5">
        <v>82</v>
      </c>
      <c r="S878" s="5" t="s">
        <v>2032</v>
      </c>
      <c r="T878" s="5" t="s">
        <v>2036</v>
      </c>
    </row>
    <row r="879" spans="1:20" x14ac:dyDescent="0.25">
      <c r="A879" s="5" t="s">
        <v>892</v>
      </c>
      <c r="B879" s="10">
        <v>45488</v>
      </c>
      <c r="C879" s="5" t="s">
        <v>1016</v>
      </c>
      <c r="D879" s="11" t="s">
        <v>1895</v>
      </c>
      <c r="E879" s="5" t="s">
        <v>2926</v>
      </c>
      <c r="F879" s="5">
        <v>33</v>
      </c>
      <c r="G879" s="5" t="str" cm="1">
        <f t="array" ref="G879">_xlfn.IFS(F879&lt;12,"Child",F879&lt;18,"Teen",F879&lt;25,"Young",F879&lt;40,"Adult",F879&lt;60,"Middle Age",F879&gt;=60,"Old")</f>
        <v>Adult</v>
      </c>
      <c r="H879" s="5" t="s">
        <v>2044</v>
      </c>
      <c r="I879" s="5" t="s">
        <v>2048</v>
      </c>
      <c r="J879" s="5" t="s">
        <v>2019</v>
      </c>
      <c r="K879" s="5" t="str">
        <f>VLOOKUP(J879,Sheet2!$A$1:$B$11,2,FALSE)</f>
        <v>Formal Wear</v>
      </c>
      <c r="L879" s="5">
        <v>1</v>
      </c>
      <c r="M879" s="6">
        <v>346</v>
      </c>
      <c r="N879" s="6">
        <v>346</v>
      </c>
      <c r="O879" s="7">
        <v>0.05</v>
      </c>
      <c r="P879" s="8">
        <f t="shared" si="26"/>
        <v>17.3</v>
      </c>
      <c r="Q879" s="9">
        <f t="shared" si="27"/>
        <v>328.7</v>
      </c>
      <c r="R879" s="5">
        <v>6</v>
      </c>
      <c r="S879" s="5" t="s">
        <v>2033</v>
      </c>
      <c r="T879" s="5" t="s">
        <v>2035</v>
      </c>
    </row>
    <row r="880" spans="1:20" x14ac:dyDescent="0.25">
      <c r="A880" s="5" t="s">
        <v>893</v>
      </c>
      <c r="B880" s="10">
        <v>45703</v>
      </c>
      <c r="C880" s="5" t="s">
        <v>1020</v>
      </c>
      <c r="D880" s="11" t="s">
        <v>1896</v>
      </c>
      <c r="E880" s="5" t="s">
        <v>2927</v>
      </c>
      <c r="F880" s="5">
        <v>26</v>
      </c>
      <c r="G880" s="5" t="str" cm="1">
        <f t="array" ref="G880">_xlfn.IFS(F880&lt;12,"Child",F880&lt;18,"Teen",F880&lt;25,"Young",F880&lt;40,"Adult",F880&lt;60,"Middle Age",F880&gt;=60,"Old")</f>
        <v>Adult</v>
      </c>
      <c r="H880" s="5" t="s">
        <v>2044</v>
      </c>
      <c r="I880" s="5" t="s">
        <v>2015</v>
      </c>
      <c r="J880" s="5" t="s">
        <v>2021</v>
      </c>
      <c r="K880" s="5" t="str">
        <f>VLOOKUP(J880,Sheet2!$A$1:$B$11,2,FALSE)</f>
        <v>Casual Wear</v>
      </c>
      <c r="L880" s="5">
        <v>2</v>
      </c>
      <c r="M880" s="6">
        <v>922</v>
      </c>
      <c r="N880" s="6">
        <v>1844</v>
      </c>
      <c r="O880" s="7">
        <v>0</v>
      </c>
      <c r="P880" s="8">
        <f t="shared" si="26"/>
        <v>0</v>
      </c>
      <c r="Q880" s="9">
        <f t="shared" si="27"/>
        <v>1844</v>
      </c>
      <c r="R880" s="5">
        <v>36</v>
      </c>
      <c r="S880" s="5" t="s">
        <v>2034</v>
      </c>
      <c r="T880" s="5" t="s">
        <v>2037</v>
      </c>
    </row>
    <row r="881" spans="1:20" x14ac:dyDescent="0.25">
      <c r="A881" s="5" t="s">
        <v>894</v>
      </c>
      <c r="B881" s="10">
        <v>45659</v>
      </c>
      <c r="C881" s="5" t="s">
        <v>1018</v>
      </c>
      <c r="D881" s="11" t="s">
        <v>1897</v>
      </c>
      <c r="E881" s="5" t="s">
        <v>2928</v>
      </c>
      <c r="F881" s="5">
        <v>59</v>
      </c>
      <c r="G881" s="5" t="str" cm="1">
        <f t="array" ref="G881">_xlfn.IFS(F881&lt;12,"Child",F881&lt;18,"Teen",F881&lt;25,"Young",F881&lt;40,"Adult",F881&lt;60,"Middle Age",F881&gt;=60,"Old")</f>
        <v>Middle Age</v>
      </c>
      <c r="H881" s="5" t="s">
        <v>2044</v>
      </c>
      <c r="I881" s="5" t="s">
        <v>2049</v>
      </c>
      <c r="J881" s="5" t="s">
        <v>2019</v>
      </c>
      <c r="K881" s="5" t="str">
        <f>VLOOKUP(J881,Sheet2!$A$1:$B$11,2,FALSE)</f>
        <v>Formal Wear</v>
      </c>
      <c r="L881" s="5">
        <v>4</v>
      </c>
      <c r="M881" s="6">
        <v>970</v>
      </c>
      <c r="N881" s="6">
        <v>3880</v>
      </c>
      <c r="O881" s="7">
        <v>0.1</v>
      </c>
      <c r="P881" s="8">
        <f t="shared" si="26"/>
        <v>388</v>
      </c>
      <c r="Q881" s="9">
        <f t="shared" si="27"/>
        <v>3492</v>
      </c>
      <c r="R881" s="5">
        <v>69</v>
      </c>
      <c r="S881" s="5" t="s">
        <v>2033</v>
      </c>
      <c r="T881" s="5" t="s">
        <v>2035</v>
      </c>
    </row>
    <row r="882" spans="1:20" x14ac:dyDescent="0.25">
      <c r="A882" s="5" t="s">
        <v>895</v>
      </c>
      <c r="B882" s="10">
        <v>45663</v>
      </c>
      <c r="C882" s="5" t="s">
        <v>1016</v>
      </c>
      <c r="D882" s="11" t="s">
        <v>1898</v>
      </c>
      <c r="E882" s="5" t="s">
        <v>2929</v>
      </c>
      <c r="F882" s="5">
        <v>46</v>
      </c>
      <c r="G882" s="5" t="str" cm="1">
        <f t="array" ref="G882">_xlfn.IFS(F882&lt;12,"Child",F882&lt;18,"Teen",F882&lt;25,"Young",F882&lt;40,"Adult",F882&lt;60,"Middle Age",F882&gt;=60,"Old")</f>
        <v>Middle Age</v>
      </c>
      <c r="H882" s="5" t="s">
        <v>2043</v>
      </c>
      <c r="I882" s="5" t="s">
        <v>2053</v>
      </c>
      <c r="J882" s="5" t="s">
        <v>2020</v>
      </c>
      <c r="K882" s="5" t="str">
        <f>VLOOKUP(J882,Sheet2!$A$1:$B$11,2,FALSE)</f>
        <v>Summer Wear</v>
      </c>
      <c r="L882" s="5">
        <v>1</v>
      </c>
      <c r="M882" s="6">
        <v>1053</v>
      </c>
      <c r="N882" s="6">
        <v>1053</v>
      </c>
      <c r="O882" s="7">
        <v>0.05</v>
      </c>
      <c r="P882" s="8">
        <f t="shared" si="26"/>
        <v>52.650000000000006</v>
      </c>
      <c r="Q882" s="9">
        <f t="shared" si="27"/>
        <v>1000.35</v>
      </c>
      <c r="R882" s="5">
        <v>20</v>
      </c>
      <c r="S882" s="5" t="s">
        <v>2032</v>
      </c>
      <c r="T882" s="5" t="s">
        <v>2035</v>
      </c>
    </row>
    <row r="883" spans="1:20" x14ac:dyDescent="0.25">
      <c r="A883" s="5" t="s">
        <v>896</v>
      </c>
      <c r="B883" s="10">
        <v>45523</v>
      </c>
      <c r="C883" s="5" t="s">
        <v>1016</v>
      </c>
      <c r="D883" s="11" t="s">
        <v>1899</v>
      </c>
      <c r="E883" s="5" t="s">
        <v>2930</v>
      </c>
      <c r="F883" s="5">
        <v>25</v>
      </c>
      <c r="G883" s="5" t="str" cm="1">
        <f t="array" ref="G883">_xlfn.IFS(F883&lt;12,"Child",F883&lt;18,"Teen",F883&lt;25,"Young",F883&lt;40,"Adult",F883&lt;60,"Middle Age",F883&gt;=60,"Old")</f>
        <v>Adult</v>
      </c>
      <c r="H883" s="5" t="s">
        <v>2043</v>
      </c>
      <c r="I883" s="5" t="s">
        <v>2047</v>
      </c>
      <c r="J883" s="5" t="s">
        <v>2017</v>
      </c>
      <c r="K883" s="5" t="str">
        <f>VLOOKUP(J883,Sheet2!$A$1:$B$11,2,FALSE)</f>
        <v>Casual Wear</v>
      </c>
      <c r="L883" s="5">
        <v>4</v>
      </c>
      <c r="M883" s="6">
        <v>1104</v>
      </c>
      <c r="N883" s="6">
        <v>4416</v>
      </c>
      <c r="O883" s="7">
        <v>0.1</v>
      </c>
      <c r="P883" s="8">
        <f t="shared" si="26"/>
        <v>441.6</v>
      </c>
      <c r="Q883" s="9">
        <f t="shared" si="27"/>
        <v>3974.4</v>
      </c>
      <c r="R883" s="5">
        <v>79</v>
      </c>
      <c r="S883" s="5" t="s">
        <v>2034</v>
      </c>
      <c r="T883" s="5" t="s">
        <v>2036</v>
      </c>
    </row>
    <row r="884" spans="1:20" x14ac:dyDescent="0.25">
      <c r="A884" s="5" t="s">
        <v>897</v>
      </c>
      <c r="B884" s="10">
        <v>45409</v>
      </c>
      <c r="C884" s="5" t="s">
        <v>1020</v>
      </c>
      <c r="D884" s="11" t="s">
        <v>1900</v>
      </c>
      <c r="E884" s="5" t="s">
        <v>2931</v>
      </c>
      <c r="F884" s="5">
        <v>54</v>
      </c>
      <c r="G884" s="5" t="str" cm="1">
        <f t="array" ref="G884">_xlfn.IFS(F884&lt;12,"Child",F884&lt;18,"Teen",F884&lt;25,"Young",F884&lt;40,"Adult",F884&lt;60,"Middle Age",F884&gt;=60,"Old")</f>
        <v>Middle Age</v>
      </c>
      <c r="H884" s="5" t="s">
        <v>2044</v>
      </c>
      <c r="I884" s="5" t="s">
        <v>2053</v>
      </c>
      <c r="J884" s="5" t="s">
        <v>2024</v>
      </c>
      <c r="K884" s="5" t="str">
        <f>VLOOKUP(J884,Sheet2!$A$1:$B$11,2,FALSE)</f>
        <v>Fashion Accessories</v>
      </c>
      <c r="L884" s="5">
        <v>1</v>
      </c>
      <c r="M884" s="6">
        <v>891</v>
      </c>
      <c r="N884" s="6">
        <v>891</v>
      </c>
      <c r="O884" s="7">
        <v>0</v>
      </c>
      <c r="P884" s="8">
        <f t="shared" si="26"/>
        <v>0</v>
      </c>
      <c r="Q884" s="9">
        <f t="shared" si="27"/>
        <v>891</v>
      </c>
      <c r="R884" s="5">
        <v>17</v>
      </c>
      <c r="S884" s="5" t="s">
        <v>2033</v>
      </c>
      <c r="T884" s="5" t="s">
        <v>2037</v>
      </c>
    </row>
    <row r="885" spans="1:20" x14ac:dyDescent="0.25">
      <c r="A885" s="5" t="s">
        <v>898</v>
      </c>
      <c r="B885" s="10">
        <v>45588</v>
      </c>
      <c r="C885" s="5" t="s">
        <v>1017</v>
      </c>
      <c r="D885" s="11" t="s">
        <v>1901</v>
      </c>
      <c r="E885" s="5" t="s">
        <v>2932</v>
      </c>
      <c r="F885" s="5">
        <v>41</v>
      </c>
      <c r="G885" s="5" t="str" cm="1">
        <f t="array" ref="G885">_xlfn.IFS(F885&lt;12,"Child",F885&lt;18,"Teen",F885&lt;25,"Young",F885&lt;40,"Adult",F885&lt;60,"Middle Age",F885&gt;=60,"Old")</f>
        <v>Middle Age</v>
      </c>
      <c r="H885" s="5" t="s">
        <v>2043</v>
      </c>
      <c r="I885" s="5" t="s">
        <v>2049</v>
      </c>
      <c r="J885" s="5" t="s">
        <v>2021</v>
      </c>
      <c r="K885" s="5" t="str">
        <f>VLOOKUP(J885,Sheet2!$A$1:$B$11,2,FALSE)</f>
        <v>Casual Wear</v>
      </c>
      <c r="L885" s="5">
        <v>1</v>
      </c>
      <c r="M885" s="6">
        <v>859</v>
      </c>
      <c r="N885" s="6">
        <v>859</v>
      </c>
      <c r="O885" s="7">
        <v>0.05</v>
      </c>
      <c r="P885" s="8">
        <f t="shared" si="26"/>
        <v>42.95</v>
      </c>
      <c r="Q885" s="9">
        <f t="shared" si="27"/>
        <v>816.05</v>
      </c>
      <c r="R885" s="5">
        <v>16</v>
      </c>
      <c r="S885" s="5" t="s">
        <v>2034</v>
      </c>
      <c r="T885" s="5" t="s">
        <v>2037</v>
      </c>
    </row>
    <row r="886" spans="1:20" x14ac:dyDescent="0.25">
      <c r="A886" s="5" t="s">
        <v>899</v>
      </c>
      <c r="B886" s="10">
        <v>45635</v>
      </c>
      <c r="C886" s="5" t="s">
        <v>1016</v>
      </c>
      <c r="D886" s="11" t="s">
        <v>1902</v>
      </c>
      <c r="E886" s="5" t="s">
        <v>2933</v>
      </c>
      <c r="F886" s="5">
        <v>31</v>
      </c>
      <c r="G886" s="5" t="str" cm="1">
        <f t="array" ref="G886">_xlfn.IFS(F886&lt;12,"Child",F886&lt;18,"Teen",F886&lt;25,"Young",F886&lt;40,"Adult",F886&lt;60,"Middle Age",F886&gt;=60,"Old")</f>
        <v>Adult</v>
      </c>
      <c r="H886" s="5" t="s">
        <v>2044</v>
      </c>
      <c r="I886" s="5" t="s">
        <v>2048</v>
      </c>
      <c r="J886" s="5" t="s">
        <v>2021</v>
      </c>
      <c r="K886" s="5" t="str">
        <f>VLOOKUP(J886,Sheet2!$A$1:$B$11,2,FALSE)</f>
        <v>Casual Wear</v>
      </c>
      <c r="L886" s="5">
        <v>2</v>
      </c>
      <c r="M886" s="6">
        <v>868</v>
      </c>
      <c r="N886" s="6">
        <v>1736</v>
      </c>
      <c r="O886" s="7">
        <v>0.15</v>
      </c>
      <c r="P886" s="8">
        <f t="shared" si="26"/>
        <v>260.39999999999998</v>
      </c>
      <c r="Q886" s="9">
        <f t="shared" si="27"/>
        <v>1475.6</v>
      </c>
      <c r="R886" s="5">
        <v>29</v>
      </c>
      <c r="S886" s="5" t="s">
        <v>2034</v>
      </c>
      <c r="T886" s="5" t="s">
        <v>2036</v>
      </c>
    </row>
    <row r="887" spans="1:20" x14ac:dyDescent="0.25">
      <c r="A887" s="5" t="s">
        <v>900</v>
      </c>
      <c r="B887" s="10">
        <v>45657</v>
      </c>
      <c r="C887" s="5" t="s">
        <v>1019</v>
      </c>
      <c r="D887" s="11" t="s">
        <v>1903</v>
      </c>
      <c r="E887" s="5" t="s">
        <v>2934</v>
      </c>
      <c r="F887" s="5">
        <v>37</v>
      </c>
      <c r="G887" s="5" t="str" cm="1">
        <f t="array" ref="G887">_xlfn.IFS(F887&lt;12,"Child",F887&lt;18,"Teen",F887&lt;25,"Young",F887&lt;40,"Adult",F887&lt;60,"Middle Age",F887&gt;=60,"Old")</f>
        <v>Adult</v>
      </c>
      <c r="H887" s="5" t="s">
        <v>2043</v>
      </c>
      <c r="I887" s="5" t="s">
        <v>2045</v>
      </c>
      <c r="J887" s="5" t="s">
        <v>2017</v>
      </c>
      <c r="K887" s="5" t="str">
        <f>VLOOKUP(J887,Sheet2!$A$1:$B$11,2,FALSE)</f>
        <v>Casual Wear</v>
      </c>
      <c r="L887" s="5">
        <v>1</v>
      </c>
      <c r="M887" s="6">
        <v>425</v>
      </c>
      <c r="N887" s="6">
        <v>425</v>
      </c>
      <c r="O887" s="7">
        <v>0</v>
      </c>
      <c r="P887" s="8">
        <f t="shared" si="26"/>
        <v>0</v>
      </c>
      <c r="Q887" s="9">
        <f t="shared" si="27"/>
        <v>425</v>
      </c>
      <c r="R887" s="5">
        <v>8</v>
      </c>
      <c r="S887" s="5" t="s">
        <v>2034</v>
      </c>
      <c r="T887" s="5" t="s">
        <v>2037</v>
      </c>
    </row>
    <row r="888" spans="1:20" x14ac:dyDescent="0.25">
      <c r="A888" s="5" t="s">
        <v>901</v>
      </c>
      <c r="B888" s="10">
        <v>45662</v>
      </c>
      <c r="C888" s="5" t="s">
        <v>1015</v>
      </c>
      <c r="D888" s="11" t="s">
        <v>1129</v>
      </c>
      <c r="E888" s="5" t="s">
        <v>2935</v>
      </c>
      <c r="F888" s="5">
        <v>50</v>
      </c>
      <c r="G888" s="5" t="str" cm="1">
        <f t="array" ref="G888">_xlfn.IFS(F888&lt;12,"Child",F888&lt;18,"Teen",F888&lt;25,"Young",F888&lt;40,"Adult",F888&lt;60,"Middle Age",F888&gt;=60,"Old")</f>
        <v>Middle Age</v>
      </c>
      <c r="H888" s="5" t="s">
        <v>2044</v>
      </c>
      <c r="I888" s="5" t="s">
        <v>2015</v>
      </c>
      <c r="J888" s="5" t="s">
        <v>2019</v>
      </c>
      <c r="K888" s="5" t="str">
        <f>VLOOKUP(J888,Sheet2!$A$1:$B$11,2,FALSE)</f>
        <v>Formal Wear</v>
      </c>
      <c r="L888" s="5">
        <v>3</v>
      </c>
      <c r="M888" s="6">
        <v>676</v>
      </c>
      <c r="N888" s="6">
        <v>2028</v>
      </c>
      <c r="O888" s="7">
        <v>0</v>
      </c>
      <c r="P888" s="8">
        <f t="shared" si="26"/>
        <v>0</v>
      </c>
      <c r="Q888" s="9">
        <f t="shared" si="27"/>
        <v>2028</v>
      </c>
      <c r="R888" s="5">
        <v>40</v>
      </c>
      <c r="S888" s="5" t="s">
        <v>2034</v>
      </c>
      <c r="T888" s="5" t="s">
        <v>2037</v>
      </c>
    </row>
    <row r="889" spans="1:20" x14ac:dyDescent="0.25">
      <c r="A889" s="5" t="s">
        <v>902</v>
      </c>
      <c r="B889" s="10">
        <v>45650</v>
      </c>
      <c r="C889" s="5" t="s">
        <v>1019</v>
      </c>
      <c r="D889" s="11" t="s">
        <v>1904</v>
      </c>
      <c r="E889" s="5" t="s">
        <v>2936</v>
      </c>
      <c r="F889" s="5">
        <v>31</v>
      </c>
      <c r="G889" s="5" t="str" cm="1">
        <f t="array" ref="G889">_xlfn.IFS(F889&lt;12,"Child",F889&lt;18,"Teen",F889&lt;25,"Young",F889&lt;40,"Adult",F889&lt;60,"Middle Age",F889&gt;=60,"Old")</f>
        <v>Adult</v>
      </c>
      <c r="H889" s="5" t="s">
        <v>2043</v>
      </c>
      <c r="I889" s="5" t="s">
        <v>2052</v>
      </c>
      <c r="J889" s="5" t="s">
        <v>2016</v>
      </c>
      <c r="K889" s="5" t="str">
        <f>VLOOKUP(J889,Sheet2!$A$1:$B$11,2,FALSE)</f>
        <v>Winter Wear</v>
      </c>
      <c r="L889" s="5">
        <v>3</v>
      </c>
      <c r="M889" s="6">
        <v>993</v>
      </c>
      <c r="N889" s="6">
        <v>2979</v>
      </c>
      <c r="O889" s="7">
        <v>0</v>
      </c>
      <c r="P889" s="8">
        <f t="shared" si="26"/>
        <v>0</v>
      </c>
      <c r="Q889" s="9">
        <f t="shared" si="27"/>
        <v>2979</v>
      </c>
      <c r="R889" s="5">
        <v>59</v>
      </c>
      <c r="S889" s="5" t="s">
        <v>2032</v>
      </c>
      <c r="T889" s="5" t="s">
        <v>2036</v>
      </c>
    </row>
    <row r="890" spans="1:20" x14ac:dyDescent="0.25">
      <c r="A890" s="5" t="s">
        <v>903</v>
      </c>
      <c r="B890" s="10">
        <v>45442</v>
      </c>
      <c r="C890" s="5" t="s">
        <v>1018</v>
      </c>
      <c r="D890" s="11" t="s">
        <v>1905</v>
      </c>
      <c r="E890" s="5" t="s">
        <v>2937</v>
      </c>
      <c r="F890" s="5">
        <v>21</v>
      </c>
      <c r="G890" s="5" t="str" cm="1">
        <f t="array" ref="G890">_xlfn.IFS(F890&lt;12,"Child",F890&lt;18,"Teen",F890&lt;25,"Young",F890&lt;40,"Adult",F890&lt;60,"Middle Age",F890&gt;=60,"Old")</f>
        <v>Young</v>
      </c>
      <c r="H890" s="5" t="s">
        <v>2044</v>
      </c>
      <c r="I890" s="5" t="s">
        <v>2015</v>
      </c>
      <c r="J890" s="5" t="s">
        <v>2023</v>
      </c>
      <c r="K890" s="5" t="str">
        <f>VLOOKUP(J890,Sheet2!$A$1:$B$11,2,FALSE)</f>
        <v>Formal Wear</v>
      </c>
      <c r="L890" s="5">
        <v>4</v>
      </c>
      <c r="M890" s="6">
        <v>1138</v>
      </c>
      <c r="N890" s="6">
        <v>4552</v>
      </c>
      <c r="O890" s="7">
        <v>0.2</v>
      </c>
      <c r="P890" s="8">
        <f t="shared" si="26"/>
        <v>910.40000000000009</v>
      </c>
      <c r="Q890" s="9">
        <f t="shared" si="27"/>
        <v>3641.6</v>
      </c>
      <c r="R890" s="5">
        <v>72</v>
      </c>
      <c r="S890" s="5" t="s">
        <v>2033</v>
      </c>
      <c r="T890" s="5" t="s">
        <v>2035</v>
      </c>
    </row>
    <row r="891" spans="1:20" x14ac:dyDescent="0.25">
      <c r="A891" s="5" t="s">
        <v>904</v>
      </c>
      <c r="B891" s="10">
        <v>45361</v>
      </c>
      <c r="C891" s="5" t="s">
        <v>1015</v>
      </c>
      <c r="D891" s="11" t="s">
        <v>1906</v>
      </c>
      <c r="E891" s="5" t="s">
        <v>2938</v>
      </c>
      <c r="F891" s="5">
        <v>25</v>
      </c>
      <c r="G891" s="5" t="str" cm="1">
        <f t="array" ref="G891">_xlfn.IFS(F891&lt;12,"Child",F891&lt;18,"Teen",F891&lt;25,"Young",F891&lt;40,"Adult",F891&lt;60,"Middle Age",F891&gt;=60,"Old")</f>
        <v>Adult</v>
      </c>
      <c r="H891" s="5" t="s">
        <v>2044</v>
      </c>
      <c r="I891" s="5" t="s">
        <v>2015</v>
      </c>
      <c r="J891" s="5" t="s">
        <v>2023</v>
      </c>
      <c r="K891" s="5" t="str">
        <f>VLOOKUP(J891,Sheet2!$A$1:$B$11,2,FALSE)</f>
        <v>Formal Wear</v>
      </c>
      <c r="L891" s="5">
        <v>3</v>
      </c>
      <c r="M891" s="6">
        <v>952</v>
      </c>
      <c r="N891" s="6">
        <v>2856</v>
      </c>
      <c r="O891" s="7">
        <v>0.05</v>
      </c>
      <c r="P891" s="8">
        <f t="shared" si="26"/>
        <v>142.80000000000001</v>
      </c>
      <c r="Q891" s="9">
        <f t="shared" si="27"/>
        <v>2713.2</v>
      </c>
      <c r="R891" s="5">
        <v>54</v>
      </c>
      <c r="S891" s="5" t="s">
        <v>2033</v>
      </c>
      <c r="T891" s="5" t="s">
        <v>2036</v>
      </c>
    </row>
    <row r="892" spans="1:20" x14ac:dyDescent="0.25">
      <c r="A892" s="5" t="s">
        <v>905</v>
      </c>
      <c r="B892" s="10">
        <v>45631</v>
      </c>
      <c r="C892" s="5" t="s">
        <v>1018</v>
      </c>
      <c r="D892" s="11" t="s">
        <v>1907</v>
      </c>
      <c r="E892" s="5" t="s">
        <v>2939</v>
      </c>
      <c r="F892" s="5">
        <v>40</v>
      </c>
      <c r="G892" s="5" t="str" cm="1">
        <f t="array" ref="G892">_xlfn.IFS(F892&lt;12,"Child",F892&lt;18,"Teen",F892&lt;25,"Young",F892&lt;40,"Adult",F892&lt;60,"Middle Age",F892&gt;=60,"Old")</f>
        <v>Middle Age</v>
      </c>
      <c r="H892" s="5" t="s">
        <v>2044</v>
      </c>
      <c r="I892" s="5" t="s">
        <v>2015</v>
      </c>
      <c r="J892" s="5" t="s">
        <v>2022</v>
      </c>
      <c r="K892" s="5" t="str">
        <f>VLOOKUP(J892,Sheet2!$A$1:$B$11,2,FALSE)</f>
        <v>Sportswear</v>
      </c>
      <c r="L892" s="5">
        <v>1</v>
      </c>
      <c r="M892" s="6">
        <v>299</v>
      </c>
      <c r="N892" s="6">
        <v>299</v>
      </c>
      <c r="O892" s="7">
        <v>0</v>
      </c>
      <c r="P892" s="8">
        <f t="shared" si="26"/>
        <v>0</v>
      </c>
      <c r="Q892" s="9">
        <f t="shared" si="27"/>
        <v>299</v>
      </c>
      <c r="R892" s="5">
        <v>5</v>
      </c>
      <c r="S892" s="5" t="s">
        <v>2034</v>
      </c>
      <c r="T892" s="5" t="s">
        <v>2037</v>
      </c>
    </row>
    <row r="893" spans="1:20" x14ac:dyDescent="0.25">
      <c r="A893" s="5" t="s">
        <v>906</v>
      </c>
      <c r="B893" s="10">
        <v>45511</v>
      </c>
      <c r="C893" s="5" t="s">
        <v>1017</v>
      </c>
      <c r="D893" s="11" t="s">
        <v>1908</v>
      </c>
      <c r="E893" s="5" t="s">
        <v>2940</v>
      </c>
      <c r="F893" s="5">
        <v>60</v>
      </c>
      <c r="G893" s="5" t="str" cm="1">
        <f t="array" ref="G893">_xlfn.IFS(F893&lt;12,"Child",F893&lt;18,"Teen",F893&lt;25,"Young",F893&lt;40,"Adult",F893&lt;60,"Middle Age",F893&gt;=60,"Old")</f>
        <v>Old</v>
      </c>
      <c r="H893" s="5" t="s">
        <v>2044</v>
      </c>
      <c r="I893" s="5" t="s">
        <v>2045</v>
      </c>
      <c r="J893" s="5" t="s">
        <v>2016</v>
      </c>
      <c r="K893" s="5" t="str">
        <f>VLOOKUP(J893,Sheet2!$A$1:$B$11,2,FALSE)</f>
        <v>Winter Wear</v>
      </c>
      <c r="L893" s="5">
        <v>3</v>
      </c>
      <c r="M893" s="6">
        <v>652</v>
      </c>
      <c r="N893" s="6">
        <v>1956</v>
      </c>
      <c r="O893" s="7">
        <v>0.05</v>
      </c>
      <c r="P893" s="8">
        <f t="shared" si="26"/>
        <v>97.800000000000011</v>
      </c>
      <c r="Q893" s="9">
        <f t="shared" si="27"/>
        <v>1858.2</v>
      </c>
      <c r="R893" s="5">
        <v>37</v>
      </c>
      <c r="S893" s="5" t="s">
        <v>2032</v>
      </c>
      <c r="T893" s="5" t="s">
        <v>2036</v>
      </c>
    </row>
    <row r="894" spans="1:20" x14ac:dyDescent="0.25">
      <c r="A894" s="5" t="s">
        <v>907</v>
      </c>
      <c r="B894" s="10">
        <v>45443</v>
      </c>
      <c r="C894" s="5" t="s">
        <v>1014</v>
      </c>
      <c r="D894" s="11" t="s">
        <v>1909</v>
      </c>
      <c r="E894" s="5" t="s">
        <v>2941</v>
      </c>
      <c r="F894" s="5">
        <v>36</v>
      </c>
      <c r="G894" s="5" t="str" cm="1">
        <f t="array" ref="G894">_xlfn.IFS(F894&lt;12,"Child",F894&lt;18,"Teen",F894&lt;25,"Young",F894&lt;40,"Adult",F894&lt;60,"Middle Age",F894&gt;=60,"Old")</f>
        <v>Adult</v>
      </c>
      <c r="H894" s="5" t="s">
        <v>2044</v>
      </c>
      <c r="I894" s="5" t="s">
        <v>2053</v>
      </c>
      <c r="J894" s="5" t="s">
        <v>2024</v>
      </c>
      <c r="K894" s="5" t="str">
        <f>VLOOKUP(J894,Sheet2!$A$1:$B$11,2,FALSE)</f>
        <v>Fashion Accessories</v>
      </c>
      <c r="L894" s="5">
        <v>3</v>
      </c>
      <c r="M894" s="6">
        <v>528</v>
      </c>
      <c r="N894" s="6">
        <v>1584</v>
      </c>
      <c r="O894" s="7">
        <v>0</v>
      </c>
      <c r="P894" s="8">
        <f t="shared" si="26"/>
        <v>0</v>
      </c>
      <c r="Q894" s="9">
        <f t="shared" si="27"/>
        <v>1584</v>
      </c>
      <c r="R894" s="5">
        <v>31</v>
      </c>
      <c r="S894" s="5" t="s">
        <v>2032</v>
      </c>
      <c r="T894" s="5" t="s">
        <v>2036</v>
      </c>
    </row>
    <row r="895" spans="1:20" x14ac:dyDescent="0.25">
      <c r="A895" s="5" t="s">
        <v>908</v>
      </c>
      <c r="B895" s="10">
        <v>45634</v>
      </c>
      <c r="C895" s="5" t="s">
        <v>1015</v>
      </c>
      <c r="D895" s="11" t="s">
        <v>1910</v>
      </c>
      <c r="E895" s="5" t="s">
        <v>2942</v>
      </c>
      <c r="F895" s="5">
        <v>43</v>
      </c>
      <c r="G895" s="5" t="str" cm="1">
        <f t="array" ref="G895">_xlfn.IFS(F895&lt;12,"Child",F895&lt;18,"Teen",F895&lt;25,"Young",F895&lt;40,"Adult",F895&lt;60,"Middle Age",F895&gt;=60,"Old")</f>
        <v>Middle Age</v>
      </c>
      <c r="H895" s="5" t="s">
        <v>2043</v>
      </c>
      <c r="I895" s="5" t="s">
        <v>2046</v>
      </c>
      <c r="J895" s="5" t="s">
        <v>2016</v>
      </c>
      <c r="K895" s="5" t="str">
        <f>VLOOKUP(J895,Sheet2!$A$1:$B$11,2,FALSE)</f>
        <v>Winter Wear</v>
      </c>
      <c r="L895" s="5">
        <v>3</v>
      </c>
      <c r="M895" s="6">
        <v>1035</v>
      </c>
      <c r="N895" s="6">
        <v>3105</v>
      </c>
      <c r="O895" s="7">
        <v>0</v>
      </c>
      <c r="P895" s="8">
        <f t="shared" si="26"/>
        <v>0</v>
      </c>
      <c r="Q895" s="9">
        <f t="shared" si="27"/>
        <v>3105</v>
      </c>
      <c r="R895" s="5">
        <v>62</v>
      </c>
      <c r="S895" s="5" t="s">
        <v>2032</v>
      </c>
      <c r="T895" s="5" t="s">
        <v>2035</v>
      </c>
    </row>
    <row r="896" spans="1:20" x14ac:dyDescent="0.25">
      <c r="A896" s="5" t="s">
        <v>909</v>
      </c>
      <c r="B896" s="10">
        <v>45587</v>
      </c>
      <c r="C896" s="5" t="s">
        <v>1019</v>
      </c>
      <c r="D896" s="11" t="s">
        <v>1911</v>
      </c>
      <c r="E896" s="5" t="s">
        <v>2943</v>
      </c>
      <c r="F896" s="5">
        <v>34</v>
      </c>
      <c r="G896" s="5" t="str" cm="1">
        <f t="array" ref="G896">_xlfn.IFS(F896&lt;12,"Child",F896&lt;18,"Teen",F896&lt;25,"Young",F896&lt;40,"Adult",F896&lt;60,"Middle Age",F896&gt;=60,"Old")</f>
        <v>Adult</v>
      </c>
      <c r="H896" s="5" t="s">
        <v>2043</v>
      </c>
      <c r="I896" s="5" t="s">
        <v>2045</v>
      </c>
      <c r="J896" s="5" t="s">
        <v>2024</v>
      </c>
      <c r="K896" s="5" t="str">
        <f>VLOOKUP(J896,Sheet2!$A$1:$B$11,2,FALSE)</f>
        <v>Fashion Accessories</v>
      </c>
      <c r="L896" s="5">
        <v>1</v>
      </c>
      <c r="M896" s="6">
        <v>469</v>
      </c>
      <c r="N896" s="6">
        <v>469</v>
      </c>
      <c r="O896" s="7">
        <v>0.05</v>
      </c>
      <c r="P896" s="8">
        <f t="shared" si="26"/>
        <v>23.450000000000003</v>
      </c>
      <c r="Q896" s="9">
        <f t="shared" si="27"/>
        <v>445.55</v>
      </c>
      <c r="R896" s="5">
        <v>8</v>
      </c>
      <c r="S896" s="5" t="s">
        <v>2032</v>
      </c>
      <c r="T896" s="5" t="s">
        <v>2035</v>
      </c>
    </row>
    <row r="897" spans="1:20" x14ac:dyDescent="0.25">
      <c r="A897" s="5" t="s">
        <v>910</v>
      </c>
      <c r="B897" s="10">
        <v>45706</v>
      </c>
      <c r="C897" s="5" t="s">
        <v>1019</v>
      </c>
      <c r="D897" s="11" t="s">
        <v>1912</v>
      </c>
      <c r="E897" s="5" t="s">
        <v>2944</v>
      </c>
      <c r="F897" s="5">
        <v>34</v>
      </c>
      <c r="G897" s="5" t="str" cm="1">
        <f t="array" ref="G897">_xlfn.IFS(F897&lt;12,"Child",F897&lt;18,"Teen",F897&lt;25,"Young",F897&lt;40,"Adult",F897&lt;60,"Middle Age",F897&gt;=60,"Old")</f>
        <v>Adult</v>
      </c>
      <c r="H897" s="5" t="s">
        <v>2044</v>
      </c>
      <c r="I897" s="5" t="s">
        <v>2053</v>
      </c>
      <c r="J897" s="5" t="s">
        <v>2020</v>
      </c>
      <c r="K897" s="5" t="str">
        <f>VLOOKUP(J897,Sheet2!$A$1:$B$11,2,FALSE)</f>
        <v>Summer Wear</v>
      </c>
      <c r="L897" s="5">
        <v>3</v>
      </c>
      <c r="M897" s="6">
        <v>951</v>
      </c>
      <c r="N897" s="6">
        <v>2853</v>
      </c>
      <c r="O897" s="7">
        <v>0.15</v>
      </c>
      <c r="P897" s="8">
        <f t="shared" si="26"/>
        <v>427.95</v>
      </c>
      <c r="Q897" s="9">
        <f t="shared" si="27"/>
        <v>2425.0500000000002</v>
      </c>
      <c r="R897" s="5">
        <v>48</v>
      </c>
      <c r="S897" s="5" t="s">
        <v>2033</v>
      </c>
      <c r="T897" s="5" t="s">
        <v>2037</v>
      </c>
    </row>
    <row r="898" spans="1:20" x14ac:dyDescent="0.25">
      <c r="A898" s="5" t="s">
        <v>911</v>
      </c>
      <c r="B898" s="10">
        <v>45509</v>
      </c>
      <c r="C898" s="5" t="s">
        <v>1016</v>
      </c>
      <c r="D898" s="11" t="s">
        <v>1913</v>
      </c>
      <c r="E898" s="5" t="s">
        <v>2945</v>
      </c>
      <c r="F898" s="5">
        <v>27</v>
      </c>
      <c r="G898" s="5" t="str" cm="1">
        <f t="array" ref="G898">_xlfn.IFS(F898&lt;12,"Child",F898&lt;18,"Teen",F898&lt;25,"Young",F898&lt;40,"Adult",F898&lt;60,"Middle Age",F898&gt;=60,"Old")</f>
        <v>Adult</v>
      </c>
      <c r="H898" s="5" t="s">
        <v>2043</v>
      </c>
      <c r="I898" s="5" t="s">
        <v>2015</v>
      </c>
      <c r="J898" s="5" t="s">
        <v>2022</v>
      </c>
      <c r="K898" s="5" t="str">
        <f>VLOOKUP(J898,Sheet2!$A$1:$B$11,2,FALSE)</f>
        <v>Sportswear</v>
      </c>
      <c r="L898" s="5">
        <v>1</v>
      </c>
      <c r="M898" s="6">
        <v>636</v>
      </c>
      <c r="N898" s="6">
        <v>636</v>
      </c>
      <c r="O898" s="7">
        <v>0.15</v>
      </c>
      <c r="P898" s="8">
        <f t="shared" si="26"/>
        <v>95.399999999999991</v>
      </c>
      <c r="Q898" s="9">
        <f t="shared" si="27"/>
        <v>540.6</v>
      </c>
      <c r="R898" s="5">
        <v>10</v>
      </c>
      <c r="S898" s="5" t="s">
        <v>2032</v>
      </c>
      <c r="T898" s="5" t="s">
        <v>2035</v>
      </c>
    </row>
    <row r="899" spans="1:20" x14ac:dyDescent="0.25">
      <c r="A899" s="5" t="s">
        <v>912</v>
      </c>
      <c r="B899" s="10">
        <v>45689</v>
      </c>
      <c r="C899" s="5" t="s">
        <v>1020</v>
      </c>
      <c r="D899" s="11" t="s">
        <v>1914</v>
      </c>
      <c r="E899" s="5" t="s">
        <v>2946</v>
      </c>
      <c r="F899" s="5">
        <v>36</v>
      </c>
      <c r="G899" s="5" t="str" cm="1">
        <f t="array" ref="G899">_xlfn.IFS(F899&lt;12,"Child",F899&lt;18,"Teen",F899&lt;25,"Young",F899&lt;40,"Adult",F899&lt;60,"Middle Age",F899&gt;=60,"Old")</f>
        <v>Adult</v>
      </c>
      <c r="H899" s="5" t="s">
        <v>2043</v>
      </c>
      <c r="I899" s="5" t="s">
        <v>2045</v>
      </c>
      <c r="J899" s="5" t="s">
        <v>2024</v>
      </c>
      <c r="K899" s="5" t="str">
        <f>VLOOKUP(J899,Sheet2!$A$1:$B$11,2,FALSE)</f>
        <v>Fashion Accessories</v>
      </c>
      <c r="L899" s="5">
        <v>2</v>
      </c>
      <c r="M899" s="6">
        <v>935</v>
      </c>
      <c r="N899" s="6">
        <v>1870</v>
      </c>
      <c r="O899" s="7">
        <v>0.2</v>
      </c>
      <c r="P899" s="8">
        <f t="shared" ref="P899:P962" si="28">N899*O899</f>
        <v>374</v>
      </c>
      <c r="Q899" s="9">
        <f t="shared" ref="Q899:Q962" si="29">N899-P899</f>
        <v>1496</v>
      </c>
      <c r="R899" s="5">
        <v>29</v>
      </c>
      <c r="S899" s="5" t="s">
        <v>2033</v>
      </c>
      <c r="T899" s="5" t="s">
        <v>2036</v>
      </c>
    </row>
    <row r="900" spans="1:20" x14ac:dyDescent="0.25">
      <c r="A900" s="5" t="s">
        <v>913</v>
      </c>
      <c r="B900" s="10">
        <v>45678</v>
      </c>
      <c r="C900" s="5" t="s">
        <v>1019</v>
      </c>
      <c r="D900" s="11" t="s">
        <v>1915</v>
      </c>
      <c r="E900" s="5" t="s">
        <v>2947</v>
      </c>
      <c r="F900" s="5">
        <v>49</v>
      </c>
      <c r="G900" s="5" t="str" cm="1">
        <f t="array" ref="G900">_xlfn.IFS(F900&lt;12,"Child",F900&lt;18,"Teen",F900&lt;25,"Young",F900&lt;40,"Adult",F900&lt;60,"Middle Age",F900&gt;=60,"Old")</f>
        <v>Middle Age</v>
      </c>
      <c r="H900" s="5" t="s">
        <v>2044</v>
      </c>
      <c r="I900" s="5" t="s">
        <v>2052</v>
      </c>
      <c r="J900" s="5" t="s">
        <v>2017</v>
      </c>
      <c r="K900" s="5" t="str">
        <f>VLOOKUP(J900,Sheet2!$A$1:$B$11,2,FALSE)</f>
        <v>Casual Wear</v>
      </c>
      <c r="L900" s="5">
        <v>1</v>
      </c>
      <c r="M900" s="6">
        <v>1109</v>
      </c>
      <c r="N900" s="6">
        <v>1109</v>
      </c>
      <c r="O900" s="7">
        <v>0</v>
      </c>
      <c r="P900" s="8">
        <f t="shared" si="28"/>
        <v>0</v>
      </c>
      <c r="Q900" s="9">
        <f t="shared" si="29"/>
        <v>1109</v>
      </c>
      <c r="R900" s="5">
        <v>22</v>
      </c>
      <c r="S900" s="5" t="s">
        <v>2033</v>
      </c>
      <c r="T900" s="5" t="s">
        <v>2036</v>
      </c>
    </row>
    <row r="901" spans="1:20" x14ac:dyDescent="0.25">
      <c r="A901" s="5" t="s">
        <v>914</v>
      </c>
      <c r="B901" s="10">
        <v>45403</v>
      </c>
      <c r="C901" s="5" t="s">
        <v>1015</v>
      </c>
      <c r="D901" s="11" t="s">
        <v>1916</v>
      </c>
      <c r="E901" s="5" t="s">
        <v>2948</v>
      </c>
      <c r="F901" s="5">
        <v>37</v>
      </c>
      <c r="G901" s="5" t="str" cm="1">
        <f t="array" ref="G901">_xlfn.IFS(F901&lt;12,"Child",F901&lt;18,"Teen",F901&lt;25,"Young",F901&lt;40,"Adult",F901&lt;60,"Middle Age",F901&gt;=60,"Old")</f>
        <v>Adult</v>
      </c>
      <c r="H901" s="5" t="s">
        <v>2043</v>
      </c>
      <c r="I901" s="5" t="s">
        <v>2047</v>
      </c>
      <c r="J901" s="5" t="s">
        <v>2022</v>
      </c>
      <c r="K901" s="5" t="str">
        <f>VLOOKUP(J901,Sheet2!$A$1:$B$11,2,FALSE)</f>
        <v>Sportswear</v>
      </c>
      <c r="L901" s="5">
        <v>5</v>
      </c>
      <c r="M901" s="6">
        <v>639</v>
      </c>
      <c r="N901" s="6">
        <v>3195</v>
      </c>
      <c r="O901" s="7">
        <v>0.15</v>
      </c>
      <c r="P901" s="8">
        <f t="shared" si="28"/>
        <v>479.25</v>
      </c>
      <c r="Q901" s="9">
        <f t="shared" si="29"/>
        <v>2715.75</v>
      </c>
      <c r="R901" s="5">
        <v>54</v>
      </c>
      <c r="S901" s="5" t="s">
        <v>2032</v>
      </c>
      <c r="T901" s="5" t="s">
        <v>2036</v>
      </c>
    </row>
    <row r="902" spans="1:20" x14ac:dyDescent="0.25">
      <c r="A902" s="5" t="s">
        <v>915</v>
      </c>
      <c r="B902" s="10">
        <v>45524</v>
      </c>
      <c r="C902" s="5" t="s">
        <v>1019</v>
      </c>
      <c r="D902" s="11" t="s">
        <v>1917</v>
      </c>
      <c r="E902" s="5" t="s">
        <v>2949</v>
      </c>
      <c r="F902" s="5">
        <v>50</v>
      </c>
      <c r="G902" s="5" t="str" cm="1">
        <f t="array" ref="G902">_xlfn.IFS(F902&lt;12,"Child",F902&lt;18,"Teen",F902&lt;25,"Young",F902&lt;40,"Adult",F902&lt;60,"Middle Age",F902&gt;=60,"Old")</f>
        <v>Middle Age</v>
      </c>
      <c r="H902" s="5" t="s">
        <v>2044</v>
      </c>
      <c r="I902" s="5" t="s">
        <v>2048</v>
      </c>
      <c r="J902" s="5" t="s">
        <v>2021</v>
      </c>
      <c r="K902" s="5" t="str">
        <f>VLOOKUP(J902,Sheet2!$A$1:$B$11,2,FALSE)</f>
        <v>Casual Wear</v>
      </c>
      <c r="L902" s="5">
        <v>5</v>
      </c>
      <c r="M902" s="6">
        <v>266</v>
      </c>
      <c r="N902" s="6">
        <v>1330</v>
      </c>
      <c r="O902" s="7">
        <v>0.05</v>
      </c>
      <c r="P902" s="8">
        <f t="shared" si="28"/>
        <v>66.5</v>
      </c>
      <c r="Q902" s="9">
        <f t="shared" si="29"/>
        <v>1263.5</v>
      </c>
      <c r="R902" s="5">
        <v>25</v>
      </c>
      <c r="S902" s="5" t="s">
        <v>2032</v>
      </c>
      <c r="T902" s="5" t="s">
        <v>2035</v>
      </c>
    </row>
    <row r="903" spans="1:20" x14ac:dyDescent="0.25">
      <c r="A903" s="5" t="s">
        <v>916</v>
      </c>
      <c r="B903" s="10">
        <v>45701</v>
      </c>
      <c r="C903" s="5" t="s">
        <v>1018</v>
      </c>
      <c r="D903" s="11" t="s">
        <v>1918</v>
      </c>
      <c r="E903" s="5" t="s">
        <v>2950</v>
      </c>
      <c r="F903" s="5">
        <v>18</v>
      </c>
      <c r="G903" s="5" t="str" cm="1">
        <f t="array" ref="G903">_xlfn.IFS(F903&lt;12,"Child",F903&lt;18,"Teen",F903&lt;25,"Young",F903&lt;40,"Adult",F903&lt;60,"Middle Age",F903&gt;=60,"Old")</f>
        <v>Young</v>
      </c>
      <c r="H903" s="5" t="s">
        <v>2044</v>
      </c>
      <c r="I903" s="5" t="s">
        <v>2051</v>
      </c>
      <c r="J903" s="5" t="s">
        <v>2018</v>
      </c>
      <c r="K903" s="5" t="str">
        <f>VLOOKUP(J903,Sheet2!$A$1:$B$11,2,FALSE)</f>
        <v>Sportswear</v>
      </c>
      <c r="L903" s="5">
        <v>1</v>
      </c>
      <c r="M903" s="6">
        <v>538</v>
      </c>
      <c r="N903" s="6">
        <v>538</v>
      </c>
      <c r="O903" s="7">
        <v>0</v>
      </c>
      <c r="P903" s="8">
        <f t="shared" si="28"/>
        <v>0</v>
      </c>
      <c r="Q903" s="9">
        <f t="shared" si="29"/>
        <v>538</v>
      </c>
      <c r="R903" s="5">
        <v>10</v>
      </c>
      <c r="S903" s="5" t="s">
        <v>2034</v>
      </c>
      <c r="T903" s="5" t="s">
        <v>2035</v>
      </c>
    </row>
    <row r="904" spans="1:20" x14ac:dyDescent="0.25">
      <c r="A904" s="5" t="s">
        <v>917</v>
      </c>
      <c r="B904" s="10">
        <v>45661</v>
      </c>
      <c r="C904" s="5" t="s">
        <v>1020</v>
      </c>
      <c r="D904" s="11" t="s">
        <v>1919</v>
      </c>
      <c r="E904" s="5" t="s">
        <v>2951</v>
      </c>
      <c r="F904" s="5">
        <v>38</v>
      </c>
      <c r="G904" s="5" t="str" cm="1">
        <f t="array" ref="G904">_xlfn.IFS(F904&lt;12,"Child",F904&lt;18,"Teen",F904&lt;25,"Young",F904&lt;40,"Adult",F904&lt;60,"Middle Age",F904&gt;=60,"Old")</f>
        <v>Adult</v>
      </c>
      <c r="H904" s="5" t="s">
        <v>2044</v>
      </c>
      <c r="I904" s="5" t="s">
        <v>2015</v>
      </c>
      <c r="J904" s="5" t="s">
        <v>2018</v>
      </c>
      <c r="K904" s="5" t="str">
        <f>VLOOKUP(J904,Sheet2!$A$1:$B$11,2,FALSE)</f>
        <v>Sportswear</v>
      </c>
      <c r="L904" s="5">
        <v>3</v>
      </c>
      <c r="M904" s="6">
        <v>1049</v>
      </c>
      <c r="N904" s="6">
        <v>3147</v>
      </c>
      <c r="O904" s="7">
        <v>0.1</v>
      </c>
      <c r="P904" s="8">
        <f t="shared" si="28"/>
        <v>314.70000000000005</v>
      </c>
      <c r="Q904" s="9">
        <f t="shared" si="29"/>
        <v>2832.3</v>
      </c>
      <c r="R904" s="5">
        <v>56</v>
      </c>
      <c r="S904" s="5" t="s">
        <v>2034</v>
      </c>
      <c r="T904" s="5" t="s">
        <v>2035</v>
      </c>
    </row>
    <row r="905" spans="1:20" x14ac:dyDescent="0.25">
      <c r="A905" s="5" t="s">
        <v>918</v>
      </c>
      <c r="B905" s="10">
        <v>45644</v>
      </c>
      <c r="C905" s="5" t="s">
        <v>1017</v>
      </c>
      <c r="D905" s="11" t="s">
        <v>1920</v>
      </c>
      <c r="E905" s="5" t="s">
        <v>2952</v>
      </c>
      <c r="F905" s="5">
        <v>52</v>
      </c>
      <c r="G905" s="5" t="str" cm="1">
        <f t="array" ref="G905">_xlfn.IFS(F905&lt;12,"Child",F905&lt;18,"Teen",F905&lt;25,"Young",F905&lt;40,"Adult",F905&lt;60,"Middle Age",F905&gt;=60,"Old")</f>
        <v>Middle Age</v>
      </c>
      <c r="H905" s="5" t="s">
        <v>2043</v>
      </c>
      <c r="I905" s="5" t="s">
        <v>2053</v>
      </c>
      <c r="J905" s="5" t="s">
        <v>2020</v>
      </c>
      <c r="K905" s="5" t="str">
        <f>VLOOKUP(J905,Sheet2!$A$1:$B$11,2,FALSE)</f>
        <v>Summer Wear</v>
      </c>
      <c r="L905" s="5">
        <v>4</v>
      </c>
      <c r="M905" s="6">
        <v>239</v>
      </c>
      <c r="N905" s="6">
        <v>956</v>
      </c>
      <c r="O905" s="7">
        <v>0.05</v>
      </c>
      <c r="P905" s="8">
        <f t="shared" si="28"/>
        <v>47.800000000000004</v>
      </c>
      <c r="Q905" s="9">
        <f t="shared" si="29"/>
        <v>908.2</v>
      </c>
      <c r="R905" s="5">
        <v>18</v>
      </c>
      <c r="S905" s="5" t="s">
        <v>2033</v>
      </c>
      <c r="T905" s="5" t="s">
        <v>2036</v>
      </c>
    </row>
    <row r="906" spans="1:20" x14ac:dyDescent="0.25">
      <c r="A906" s="5" t="s">
        <v>919</v>
      </c>
      <c r="B906" s="10">
        <v>45426</v>
      </c>
      <c r="C906" s="5" t="s">
        <v>1019</v>
      </c>
      <c r="D906" s="11" t="s">
        <v>1921</v>
      </c>
      <c r="E906" s="5" t="s">
        <v>2953</v>
      </c>
      <c r="F906" s="5">
        <v>30</v>
      </c>
      <c r="G906" s="5" t="str" cm="1">
        <f t="array" ref="G906">_xlfn.IFS(F906&lt;12,"Child",F906&lt;18,"Teen",F906&lt;25,"Young",F906&lt;40,"Adult",F906&lt;60,"Middle Age",F906&gt;=60,"Old")</f>
        <v>Adult</v>
      </c>
      <c r="H906" s="5" t="s">
        <v>2043</v>
      </c>
      <c r="I906" s="5" t="s">
        <v>2047</v>
      </c>
      <c r="J906" s="5" t="s">
        <v>2024</v>
      </c>
      <c r="K906" s="5" t="str">
        <f>VLOOKUP(J906,Sheet2!$A$1:$B$11,2,FALSE)</f>
        <v>Fashion Accessories</v>
      </c>
      <c r="L906" s="5">
        <v>2</v>
      </c>
      <c r="M906" s="6">
        <v>306</v>
      </c>
      <c r="N906" s="6">
        <v>612</v>
      </c>
      <c r="O906" s="7">
        <v>0</v>
      </c>
      <c r="P906" s="8">
        <f t="shared" si="28"/>
        <v>0</v>
      </c>
      <c r="Q906" s="9">
        <f t="shared" si="29"/>
        <v>612</v>
      </c>
      <c r="R906" s="5">
        <v>12</v>
      </c>
      <c r="S906" s="5" t="s">
        <v>2032</v>
      </c>
      <c r="T906" s="5" t="s">
        <v>2036</v>
      </c>
    </row>
    <row r="907" spans="1:20" x14ac:dyDescent="0.25">
      <c r="A907" s="5" t="s">
        <v>920</v>
      </c>
      <c r="B907" s="10">
        <v>45617</v>
      </c>
      <c r="C907" s="5" t="s">
        <v>1018</v>
      </c>
      <c r="D907" s="11" t="s">
        <v>1922</v>
      </c>
      <c r="E907" s="5" t="s">
        <v>2954</v>
      </c>
      <c r="F907" s="5">
        <v>42</v>
      </c>
      <c r="G907" s="5" t="str" cm="1">
        <f t="array" ref="G907">_xlfn.IFS(F907&lt;12,"Child",F907&lt;18,"Teen",F907&lt;25,"Young",F907&lt;40,"Adult",F907&lt;60,"Middle Age",F907&gt;=60,"Old")</f>
        <v>Middle Age</v>
      </c>
      <c r="H907" s="5" t="s">
        <v>2044</v>
      </c>
      <c r="I907" s="5" t="s">
        <v>2047</v>
      </c>
      <c r="J907" s="5" t="s">
        <v>2019</v>
      </c>
      <c r="K907" s="5" t="str">
        <f>VLOOKUP(J907,Sheet2!$A$1:$B$11,2,FALSE)</f>
        <v>Formal Wear</v>
      </c>
      <c r="L907" s="5">
        <v>2</v>
      </c>
      <c r="M907" s="6">
        <v>265</v>
      </c>
      <c r="N907" s="6">
        <v>530</v>
      </c>
      <c r="O907" s="7">
        <v>0.2</v>
      </c>
      <c r="P907" s="8">
        <f t="shared" si="28"/>
        <v>106</v>
      </c>
      <c r="Q907" s="9">
        <f t="shared" si="29"/>
        <v>424</v>
      </c>
      <c r="R907" s="5">
        <v>8</v>
      </c>
      <c r="S907" s="5" t="s">
        <v>2032</v>
      </c>
      <c r="T907" s="5" t="s">
        <v>2036</v>
      </c>
    </row>
    <row r="908" spans="1:20" x14ac:dyDescent="0.25">
      <c r="A908" s="5" t="s">
        <v>921</v>
      </c>
      <c r="B908" s="10">
        <v>45501</v>
      </c>
      <c r="C908" s="5" t="s">
        <v>1015</v>
      </c>
      <c r="D908" s="11" t="s">
        <v>1923</v>
      </c>
      <c r="E908" s="5" t="s">
        <v>2955</v>
      </c>
      <c r="F908" s="5">
        <v>43</v>
      </c>
      <c r="G908" s="5" t="str" cm="1">
        <f t="array" ref="G908">_xlfn.IFS(F908&lt;12,"Child",F908&lt;18,"Teen",F908&lt;25,"Young",F908&lt;40,"Adult",F908&lt;60,"Middle Age",F908&gt;=60,"Old")</f>
        <v>Middle Age</v>
      </c>
      <c r="H908" s="5" t="s">
        <v>2043</v>
      </c>
      <c r="I908" s="5" t="s">
        <v>2045</v>
      </c>
      <c r="J908" s="5" t="s">
        <v>2021</v>
      </c>
      <c r="K908" s="5" t="str">
        <f>VLOOKUP(J908,Sheet2!$A$1:$B$11,2,FALSE)</f>
        <v>Casual Wear</v>
      </c>
      <c r="L908" s="5">
        <v>4</v>
      </c>
      <c r="M908" s="6">
        <v>1085</v>
      </c>
      <c r="N908" s="6">
        <v>4340</v>
      </c>
      <c r="O908" s="7">
        <v>0.15</v>
      </c>
      <c r="P908" s="8">
        <f t="shared" si="28"/>
        <v>651</v>
      </c>
      <c r="Q908" s="9">
        <f t="shared" si="29"/>
        <v>3689</v>
      </c>
      <c r="R908" s="5">
        <v>73</v>
      </c>
      <c r="S908" s="5" t="s">
        <v>2034</v>
      </c>
      <c r="T908" s="5" t="s">
        <v>2036</v>
      </c>
    </row>
    <row r="909" spans="1:20" x14ac:dyDescent="0.25">
      <c r="A909" s="5" t="s">
        <v>922</v>
      </c>
      <c r="B909" s="10">
        <v>45486</v>
      </c>
      <c r="C909" s="5" t="s">
        <v>1020</v>
      </c>
      <c r="D909" s="11" t="s">
        <v>1924</v>
      </c>
      <c r="E909" s="5" t="s">
        <v>2956</v>
      </c>
      <c r="F909" s="5">
        <v>18</v>
      </c>
      <c r="G909" s="5" t="str" cm="1">
        <f t="array" ref="G909">_xlfn.IFS(F909&lt;12,"Child",F909&lt;18,"Teen",F909&lt;25,"Young",F909&lt;40,"Adult",F909&lt;60,"Middle Age",F909&gt;=60,"Old")</f>
        <v>Young</v>
      </c>
      <c r="H909" s="5" t="s">
        <v>2043</v>
      </c>
      <c r="I909" s="5" t="s">
        <v>2052</v>
      </c>
      <c r="J909" s="5" t="s">
        <v>2017</v>
      </c>
      <c r="K909" s="5" t="str">
        <f>VLOOKUP(J909,Sheet2!$A$1:$B$11,2,FALSE)</f>
        <v>Casual Wear</v>
      </c>
      <c r="L909" s="5">
        <v>4</v>
      </c>
      <c r="M909" s="6">
        <v>482</v>
      </c>
      <c r="N909" s="6">
        <v>1928</v>
      </c>
      <c r="O909" s="7">
        <v>0.15</v>
      </c>
      <c r="P909" s="8">
        <f t="shared" si="28"/>
        <v>289.2</v>
      </c>
      <c r="Q909" s="9">
        <f t="shared" si="29"/>
        <v>1638.8</v>
      </c>
      <c r="R909" s="5">
        <v>32</v>
      </c>
      <c r="S909" s="5" t="s">
        <v>2034</v>
      </c>
      <c r="T909" s="5" t="s">
        <v>2035</v>
      </c>
    </row>
    <row r="910" spans="1:20" x14ac:dyDescent="0.25">
      <c r="A910" s="5" t="s">
        <v>923</v>
      </c>
      <c r="B910" s="10">
        <v>45689</v>
      </c>
      <c r="C910" s="5" t="s">
        <v>1020</v>
      </c>
      <c r="D910" s="11" t="s">
        <v>1865</v>
      </c>
      <c r="E910" s="5" t="s">
        <v>2957</v>
      </c>
      <c r="F910" s="5">
        <v>25</v>
      </c>
      <c r="G910" s="5" t="str" cm="1">
        <f t="array" ref="G910">_xlfn.IFS(F910&lt;12,"Child",F910&lt;18,"Teen",F910&lt;25,"Young",F910&lt;40,"Adult",F910&lt;60,"Middle Age",F910&gt;=60,"Old")</f>
        <v>Adult</v>
      </c>
      <c r="H910" s="5" t="s">
        <v>2043</v>
      </c>
      <c r="I910" s="5" t="s">
        <v>2049</v>
      </c>
      <c r="J910" s="5" t="s">
        <v>2024</v>
      </c>
      <c r="K910" s="5" t="str">
        <f>VLOOKUP(J910,Sheet2!$A$1:$B$11,2,FALSE)</f>
        <v>Fashion Accessories</v>
      </c>
      <c r="L910" s="5">
        <v>3</v>
      </c>
      <c r="M910" s="6">
        <v>1176</v>
      </c>
      <c r="N910" s="6">
        <v>3528</v>
      </c>
      <c r="O910" s="7">
        <v>0.05</v>
      </c>
      <c r="P910" s="8">
        <f t="shared" si="28"/>
        <v>176.4</v>
      </c>
      <c r="Q910" s="9">
        <f t="shared" si="29"/>
        <v>3351.6</v>
      </c>
      <c r="R910" s="5">
        <v>67</v>
      </c>
      <c r="S910" s="5" t="s">
        <v>2032</v>
      </c>
      <c r="T910" s="5" t="s">
        <v>2035</v>
      </c>
    </row>
    <row r="911" spans="1:20" x14ac:dyDescent="0.25">
      <c r="A911" s="5" t="s">
        <v>924</v>
      </c>
      <c r="B911" s="10">
        <v>45626</v>
      </c>
      <c r="C911" s="5" t="s">
        <v>1020</v>
      </c>
      <c r="D911" s="11" t="s">
        <v>1925</v>
      </c>
      <c r="E911" s="5" t="s">
        <v>2958</v>
      </c>
      <c r="F911" s="5">
        <v>27</v>
      </c>
      <c r="G911" s="5" t="str" cm="1">
        <f t="array" ref="G911">_xlfn.IFS(F911&lt;12,"Child",F911&lt;18,"Teen",F911&lt;25,"Young",F911&lt;40,"Adult",F911&lt;60,"Middle Age",F911&gt;=60,"Old")</f>
        <v>Adult</v>
      </c>
      <c r="H911" s="5" t="s">
        <v>2044</v>
      </c>
      <c r="I911" s="5" t="s">
        <v>2047</v>
      </c>
      <c r="J911" s="5" t="s">
        <v>2025</v>
      </c>
      <c r="K911" s="5" t="str">
        <f>VLOOKUP(J911,Sheet2!$A$1:$B$11,2,FALSE)</f>
        <v>Formal Wear</v>
      </c>
      <c r="L911" s="5">
        <v>4</v>
      </c>
      <c r="M911" s="6">
        <v>644</v>
      </c>
      <c r="N911" s="6">
        <v>2576</v>
      </c>
      <c r="O911" s="7">
        <v>0.15</v>
      </c>
      <c r="P911" s="8">
        <f t="shared" si="28"/>
        <v>386.4</v>
      </c>
      <c r="Q911" s="9">
        <f t="shared" si="29"/>
        <v>2189.6</v>
      </c>
      <c r="R911" s="5">
        <v>43</v>
      </c>
      <c r="S911" s="5" t="s">
        <v>2033</v>
      </c>
      <c r="T911" s="5" t="s">
        <v>2035</v>
      </c>
    </row>
    <row r="912" spans="1:20" x14ac:dyDescent="0.25">
      <c r="A912" s="5" t="s">
        <v>925</v>
      </c>
      <c r="B912" s="10">
        <v>45607</v>
      </c>
      <c r="C912" s="5" t="s">
        <v>1016</v>
      </c>
      <c r="D912" s="11" t="s">
        <v>1926</v>
      </c>
      <c r="E912" s="5" t="s">
        <v>2959</v>
      </c>
      <c r="F912" s="5">
        <v>28</v>
      </c>
      <c r="G912" s="5" t="str" cm="1">
        <f t="array" ref="G912">_xlfn.IFS(F912&lt;12,"Child",F912&lt;18,"Teen",F912&lt;25,"Young",F912&lt;40,"Adult",F912&lt;60,"Middle Age",F912&gt;=60,"Old")</f>
        <v>Adult</v>
      </c>
      <c r="H912" s="5" t="s">
        <v>2043</v>
      </c>
      <c r="I912" s="5" t="s">
        <v>2052</v>
      </c>
      <c r="J912" s="5" t="s">
        <v>2024</v>
      </c>
      <c r="K912" s="5" t="str">
        <f>VLOOKUP(J912,Sheet2!$A$1:$B$11,2,FALSE)</f>
        <v>Fashion Accessories</v>
      </c>
      <c r="L912" s="5">
        <v>1</v>
      </c>
      <c r="M912" s="6">
        <v>872</v>
      </c>
      <c r="N912" s="6">
        <v>872</v>
      </c>
      <c r="O912" s="7">
        <v>0.2</v>
      </c>
      <c r="P912" s="8">
        <f t="shared" si="28"/>
        <v>174.4</v>
      </c>
      <c r="Q912" s="9">
        <f t="shared" si="29"/>
        <v>697.6</v>
      </c>
      <c r="R912" s="5">
        <v>13</v>
      </c>
      <c r="S912" s="5" t="s">
        <v>2032</v>
      </c>
      <c r="T912" s="5" t="s">
        <v>2035</v>
      </c>
    </row>
    <row r="913" spans="1:20" x14ac:dyDescent="0.25">
      <c r="A913" s="5" t="s">
        <v>926</v>
      </c>
      <c r="B913" s="10">
        <v>45678</v>
      </c>
      <c r="C913" s="5" t="s">
        <v>1019</v>
      </c>
      <c r="D913" s="11" t="s">
        <v>1927</v>
      </c>
      <c r="E913" s="5" t="s">
        <v>2960</v>
      </c>
      <c r="F913" s="5">
        <v>54</v>
      </c>
      <c r="G913" s="5" t="str" cm="1">
        <f t="array" ref="G913">_xlfn.IFS(F913&lt;12,"Child",F913&lt;18,"Teen",F913&lt;25,"Young",F913&lt;40,"Adult",F913&lt;60,"Middle Age",F913&gt;=60,"Old")</f>
        <v>Middle Age</v>
      </c>
      <c r="H913" s="5" t="s">
        <v>2044</v>
      </c>
      <c r="I913" s="5" t="s">
        <v>2048</v>
      </c>
      <c r="J913" s="5" t="s">
        <v>2025</v>
      </c>
      <c r="K913" s="5" t="str">
        <f>VLOOKUP(J913,Sheet2!$A$1:$B$11,2,FALSE)</f>
        <v>Formal Wear</v>
      </c>
      <c r="L913" s="5">
        <v>1</v>
      </c>
      <c r="M913" s="6">
        <v>990</v>
      </c>
      <c r="N913" s="6">
        <v>990</v>
      </c>
      <c r="O913" s="7">
        <v>0.05</v>
      </c>
      <c r="P913" s="8">
        <f t="shared" si="28"/>
        <v>49.5</v>
      </c>
      <c r="Q913" s="9">
        <f t="shared" si="29"/>
        <v>940.5</v>
      </c>
      <c r="R913" s="5">
        <v>18</v>
      </c>
      <c r="S913" s="5" t="s">
        <v>2033</v>
      </c>
      <c r="T913" s="5" t="s">
        <v>2037</v>
      </c>
    </row>
    <row r="914" spans="1:20" x14ac:dyDescent="0.25">
      <c r="A914" s="5" t="s">
        <v>927</v>
      </c>
      <c r="B914" s="10">
        <v>45515</v>
      </c>
      <c r="C914" s="5" t="s">
        <v>1015</v>
      </c>
      <c r="D914" s="11" t="s">
        <v>1928</v>
      </c>
      <c r="E914" s="5" t="s">
        <v>2961</v>
      </c>
      <c r="F914" s="5">
        <v>50</v>
      </c>
      <c r="G914" s="5" t="str" cm="1">
        <f t="array" ref="G914">_xlfn.IFS(F914&lt;12,"Child",F914&lt;18,"Teen",F914&lt;25,"Young",F914&lt;40,"Adult",F914&lt;60,"Middle Age",F914&gt;=60,"Old")</f>
        <v>Middle Age</v>
      </c>
      <c r="H914" s="5" t="s">
        <v>2043</v>
      </c>
      <c r="I914" s="5" t="s">
        <v>2047</v>
      </c>
      <c r="J914" s="5" t="s">
        <v>2020</v>
      </c>
      <c r="K914" s="5" t="str">
        <f>VLOOKUP(J914,Sheet2!$A$1:$B$11,2,FALSE)</f>
        <v>Summer Wear</v>
      </c>
      <c r="L914" s="5">
        <v>3</v>
      </c>
      <c r="M914" s="6">
        <v>1080</v>
      </c>
      <c r="N914" s="6">
        <v>3240</v>
      </c>
      <c r="O914" s="7">
        <v>0.1</v>
      </c>
      <c r="P914" s="8">
        <f t="shared" si="28"/>
        <v>324</v>
      </c>
      <c r="Q914" s="9">
        <f t="shared" si="29"/>
        <v>2916</v>
      </c>
      <c r="R914" s="5">
        <v>58</v>
      </c>
      <c r="S914" s="5" t="s">
        <v>2033</v>
      </c>
      <c r="T914" s="5" t="s">
        <v>2037</v>
      </c>
    </row>
    <row r="915" spans="1:20" x14ac:dyDescent="0.25">
      <c r="A915" s="5" t="s">
        <v>928</v>
      </c>
      <c r="B915" s="10">
        <v>45699</v>
      </c>
      <c r="C915" s="5" t="s">
        <v>1019</v>
      </c>
      <c r="D915" s="11" t="s">
        <v>1929</v>
      </c>
      <c r="E915" s="5" t="s">
        <v>2962</v>
      </c>
      <c r="F915" s="5">
        <v>24</v>
      </c>
      <c r="G915" s="5" t="str" cm="1">
        <f t="array" ref="G915">_xlfn.IFS(F915&lt;12,"Child",F915&lt;18,"Teen",F915&lt;25,"Young",F915&lt;40,"Adult",F915&lt;60,"Middle Age",F915&gt;=60,"Old")</f>
        <v>Young</v>
      </c>
      <c r="H915" s="5" t="s">
        <v>2044</v>
      </c>
      <c r="I915" s="5" t="s">
        <v>2053</v>
      </c>
      <c r="J915" s="5" t="s">
        <v>2021</v>
      </c>
      <c r="K915" s="5" t="str">
        <f>VLOOKUP(J915,Sheet2!$A$1:$B$11,2,FALSE)</f>
        <v>Casual Wear</v>
      </c>
      <c r="L915" s="5">
        <v>3</v>
      </c>
      <c r="M915" s="6">
        <v>667</v>
      </c>
      <c r="N915" s="6">
        <v>2001</v>
      </c>
      <c r="O915" s="7">
        <v>0.15</v>
      </c>
      <c r="P915" s="8">
        <f t="shared" si="28"/>
        <v>300.14999999999998</v>
      </c>
      <c r="Q915" s="9">
        <f t="shared" si="29"/>
        <v>1700.85</v>
      </c>
      <c r="R915" s="5">
        <v>34</v>
      </c>
      <c r="S915" s="5" t="s">
        <v>2034</v>
      </c>
      <c r="T915" s="5" t="s">
        <v>2036</v>
      </c>
    </row>
    <row r="916" spans="1:20" x14ac:dyDescent="0.25">
      <c r="A916" s="5" t="s">
        <v>929</v>
      </c>
      <c r="B916" s="10">
        <v>45688</v>
      </c>
      <c r="C916" s="5" t="s">
        <v>1014</v>
      </c>
      <c r="D916" s="11" t="s">
        <v>1930</v>
      </c>
      <c r="E916" s="5" t="s">
        <v>2963</v>
      </c>
      <c r="F916" s="5">
        <v>24</v>
      </c>
      <c r="G916" s="5" t="str" cm="1">
        <f t="array" ref="G916">_xlfn.IFS(F916&lt;12,"Child",F916&lt;18,"Teen",F916&lt;25,"Young",F916&lt;40,"Adult",F916&lt;60,"Middle Age",F916&gt;=60,"Old")</f>
        <v>Young</v>
      </c>
      <c r="H916" s="5" t="s">
        <v>2043</v>
      </c>
      <c r="I916" s="5" t="s">
        <v>2045</v>
      </c>
      <c r="J916" s="5" t="s">
        <v>2019</v>
      </c>
      <c r="K916" s="5" t="str">
        <f>VLOOKUP(J916,Sheet2!$A$1:$B$11,2,FALSE)</f>
        <v>Formal Wear</v>
      </c>
      <c r="L916" s="5">
        <v>4</v>
      </c>
      <c r="M916" s="6">
        <v>763</v>
      </c>
      <c r="N916" s="6">
        <v>3052</v>
      </c>
      <c r="O916" s="7">
        <v>0.1</v>
      </c>
      <c r="P916" s="8">
        <f t="shared" si="28"/>
        <v>305.2</v>
      </c>
      <c r="Q916" s="9">
        <f t="shared" si="29"/>
        <v>2746.8</v>
      </c>
      <c r="R916" s="5">
        <v>54</v>
      </c>
      <c r="S916" s="5" t="s">
        <v>2032</v>
      </c>
      <c r="T916" s="5" t="s">
        <v>2035</v>
      </c>
    </row>
    <row r="917" spans="1:20" x14ac:dyDescent="0.25">
      <c r="A917" s="5" t="s">
        <v>930</v>
      </c>
      <c r="B917" s="10">
        <v>45537</v>
      </c>
      <c r="C917" s="5" t="s">
        <v>1016</v>
      </c>
      <c r="D917" s="11" t="s">
        <v>1931</v>
      </c>
      <c r="E917" s="5" t="s">
        <v>2964</v>
      </c>
      <c r="F917" s="5">
        <v>56</v>
      </c>
      <c r="G917" s="5" t="str" cm="1">
        <f t="array" ref="G917">_xlfn.IFS(F917&lt;12,"Child",F917&lt;18,"Teen",F917&lt;25,"Young",F917&lt;40,"Adult",F917&lt;60,"Middle Age",F917&gt;=60,"Old")</f>
        <v>Middle Age</v>
      </c>
      <c r="H917" s="5" t="s">
        <v>2043</v>
      </c>
      <c r="I917" s="5" t="s">
        <v>2047</v>
      </c>
      <c r="J917" s="5" t="s">
        <v>2018</v>
      </c>
      <c r="K917" s="5" t="str">
        <f>VLOOKUP(J917,Sheet2!$A$1:$B$11,2,FALSE)</f>
        <v>Sportswear</v>
      </c>
      <c r="L917" s="5">
        <v>3</v>
      </c>
      <c r="M917" s="6">
        <v>391</v>
      </c>
      <c r="N917" s="6">
        <v>1173</v>
      </c>
      <c r="O917" s="7">
        <v>0</v>
      </c>
      <c r="P917" s="8">
        <f t="shared" si="28"/>
        <v>0</v>
      </c>
      <c r="Q917" s="9">
        <f t="shared" si="29"/>
        <v>1173</v>
      </c>
      <c r="R917" s="5">
        <v>23</v>
      </c>
      <c r="S917" s="5" t="s">
        <v>2034</v>
      </c>
      <c r="T917" s="5" t="s">
        <v>2037</v>
      </c>
    </row>
    <row r="918" spans="1:20" x14ac:dyDescent="0.25">
      <c r="A918" s="5" t="s">
        <v>931</v>
      </c>
      <c r="B918" s="10">
        <v>45571</v>
      </c>
      <c r="C918" s="5" t="s">
        <v>1015</v>
      </c>
      <c r="D918" s="11" t="s">
        <v>1932</v>
      </c>
      <c r="E918" s="5" t="s">
        <v>2965</v>
      </c>
      <c r="F918" s="5">
        <v>21</v>
      </c>
      <c r="G918" s="5" t="str" cm="1">
        <f t="array" ref="G918">_xlfn.IFS(F918&lt;12,"Child",F918&lt;18,"Teen",F918&lt;25,"Young",F918&lt;40,"Adult",F918&lt;60,"Middle Age",F918&gt;=60,"Old")</f>
        <v>Young</v>
      </c>
      <c r="H918" s="5" t="s">
        <v>2044</v>
      </c>
      <c r="I918" s="5" t="s">
        <v>2050</v>
      </c>
      <c r="J918" s="5" t="s">
        <v>2024</v>
      </c>
      <c r="K918" s="5" t="str">
        <f>VLOOKUP(J918,Sheet2!$A$1:$B$11,2,FALSE)</f>
        <v>Fashion Accessories</v>
      </c>
      <c r="L918" s="5">
        <v>1</v>
      </c>
      <c r="M918" s="6">
        <v>649</v>
      </c>
      <c r="N918" s="6">
        <v>649</v>
      </c>
      <c r="O918" s="7">
        <v>0</v>
      </c>
      <c r="P918" s="8">
        <f t="shared" si="28"/>
        <v>0</v>
      </c>
      <c r="Q918" s="9">
        <f t="shared" si="29"/>
        <v>649</v>
      </c>
      <c r="R918" s="5">
        <v>12</v>
      </c>
      <c r="S918" s="5" t="s">
        <v>2034</v>
      </c>
      <c r="T918" s="5" t="s">
        <v>2035</v>
      </c>
    </row>
    <row r="919" spans="1:20" x14ac:dyDescent="0.25">
      <c r="A919" s="5" t="s">
        <v>932</v>
      </c>
      <c r="B919" s="10">
        <v>45393</v>
      </c>
      <c r="C919" s="5" t="s">
        <v>1018</v>
      </c>
      <c r="D919" s="11" t="s">
        <v>1933</v>
      </c>
      <c r="E919" s="5" t="s">
        <v>2966</v>
      </c>
      <c r="F919" s="5">
        <v>23</v>
      </c>
      <c r="G919" s="5" t="str" cm="1">
        <f t="array" ref="G919">_xlfn.IFS(F919&lt;12,"Child",F919&lt;18,"Teen",F919&lt;25,"Young",F919&lt;40,"Adult",F919&lt;60,"Middle Age",F919&gt;=60,"Old")</f>
        <v>Young</v>
      </c>
      <c r="H919" s="5" t="s">
        <v>2044</v>
      </c>
      <c r="I919" s="5" t="s">
        <v>2047</v>
      </c>
      <c r="J919" s="5" t="s">
        <v>2024</v>
      </c>
      <c r="K919" s="5" t="str">
        <f>VLOOKUP(J919,Sheet2!$A$1:$B$11,2,FALSE)</f>
        <v>Fashion Accessories</v>
      </c>
      <c r="L919" s="5">
        <v>2</v>
      </c>
      <c r="M919" s="6">
        <v>547</v>
      </c>
      <c r="N919" s="6">
        <v>1094</v>
      </c>
      <c r="O919" s="7">
        <v>0.1</v>
      </c>
      <c r="P919" s="8">
        <f t="shared" si="28"/>
        <v>109.4</v>
      </c>
      <c r="Q919" s="9">
        <f t="shared" si="29"/>
        <v>984.6</v>
      </c>
      <c r="R919" s="5">
        <v>19</v>
      </c>
      <c r="S919" s="5" t="s">
        <v>2033</v>
      </c>
      <c r="T919" s="5" t="s">
        <v>2037</v>
      </c>
    </row>
    <row r="920" spans="1:20" x14ac:dyDescent="0.25">
      <c r="A920" s="5" t="s">
        <v>933</v>
      </c>
      <c r="B920" s="10">
        <v>45500</v>
      </c>
      <c r="C920" s="5" t="s">
        <v>1020</v>
      </c>
      <c r="D920" s="11" t="s">
        <v>1934</v>
      </c>
      <c r="E920" s="5" t="s">
        <v>2967</v>
      </c>
      <c r="F920" s="5">
        <v>48</v>
      </c>
      <c r="G920" s="5" t="str" cm="1">
        <f t="array" ref="G920">_xlfn.IFS(F920&lt;12,"Child",F920&lt;18,"Teen",F920&lt;25,"Young",F920&lt;40,"Adult",F920&lt;60,"Middle Age",F920&gt;=60,"Old")</f>
        <v>Middle Age</v>
      </c>
      <c r="H920" s="5" t="s">
        <v>2044</v>
      </c>
      <c r="I920" s="5" t="s">
        <v>2053</v>
      </c>
      <c r="J920" s="5" t="s">
        <v>2023</v>
      </c>
      <c r="K920" s="5" t="str">
        <f>VLOOKUP(J920,Sheet2!$A$1:$B$11,2,FALSE)</f>
        <v>Formal Wear</v>
      </c>
      <c r="L920" s="5">
        <v>1</v>
      </c>
      <c r="M920" s="6">
        <v>391</v>
      </c>
      <c r="N920" s="6">
        <v>391</v>
      </c>
      <c r="O920" s="7">
        <v>0.15</v>
      </c>
      <c r="P920" s="8">
        <f t="shared" si="28"/>
        <v>58.65</v>
      </c>
      <c r="Q920" s="9">
        <f t="shared" si="29"/>
        <v>332.35</v>
      </c>
      <c r="R920" s="5">
        <v>6</v>
      </c>
      <c r="S920" s="5" t="s">
        <v>2033</v>
      </c>
      <c r="T920" s="5" t="s">
        <v>2037</v>
      </c>
    </row>
    <row r="921" spans="1:20" x14ac:dyDescent="0.25">
      <c r="A921" s="5" t="s">
        <v>934</v>
      </c>
      <c r="B921" s="10">
        <v>45683</v>
      </c>
      <c r="C921" s="5" t="s">
        <v>1015</v>
      </c>
      <c r="D921" s="11" t="s">
        <v>1935</v>
      </c>
      <c r="E921" s="5" t="s">
        <v>2968</v>
      </c>
      <c r="F921" s="5">
        <v>59</v>
      </c>
      <c r="G921" s="5" t="str" cm="1">
        <f t="array" ref="G921">_xlfn.IFS(F921&lt;12,"Child",F921&lt;18,"Teen",F921&lt;25,"Young",F921&lt;40,"Adult",F921&lt;60,"Middle Age",F921&gt;=60,"Old")</f>
        <v>Middle Age</v>
      </c>
      <c r="H921" s="5" t="s">
        <v>2043</v>
      </c>
      <c r="I921" s="5" t="s">
        <v>2015</v>
      </c>
      <c r="J921" s="5" t="s">
        <v>2024</v>
      </c>
      <c r="K921" s="5" t="str">
        <f>VLOOKUP(J921,Sheet2!$A$1:$B$11,2,FALSE)</f>
        <v>Fashion Accessories</v>
      </c>
      <c r="L921" s="5">
        <v>5</v>
      </c>
      <c r="M921" s="6">
        <v>782</v>
      </c>
      <c r="N921" s="6">
        <v>3910</v>
      </c>
      <c r="O921" s="7">
        <v>0.2</v>
      </c>
      <c r="P921" s="8">
        <f t="shared" si="28"/>
        <v>782</v>
      </c>
      <c r="Q921" s="9">
        <f t="shared" si="29"/>
        <v>3128</v>
      </c>
      <c r="R921" s="5">
        <v>62</v>
      </c>
      <c r="S921" s="5" t="s">
        <v>2034</v>
      </c>
      <c r="T921" s="5" t="s">
        <v>2036</v>
      </c>
    </row>
    <row r="922" spans="1:20" x14ac:dyDescent="0.25">
      <c r="A922" s="5" t="s">
        <v>935</v>
      </c>
      <c r="B922" s="10">
        <v>45502</v>
      </c>
      <c r="C922" s="5" t="s">
        <v>1016</v>
      </c>
      <c r="D922" s="11" t="s">
        <v>1936</v>
      </c>
      <c r="E922" s="5" t="s">
        <v>2969</v>
      </c>
      <c r="F922" s="5">
        <v>39</v>
      </c>
      <c r="G922" s="5" t="str" cm="1">
        <f t="array" ref="G922">_xlfn.IFS(F922&lt;12,"Child",F922&lt;18,"Teen",F922&lt;25,"Young",F922&lt;40,"Adult",F922&lt;60,"Middle Age",F922&gt;=60,"Old")</f>
        <v>Adult</v>
      </c>
      <c r="H922" s="5" t="s">
        <v>2043</v>
      </c>
      <c r="I922" s="5" t="s">
        <v>2049</v>
      </c>
      <c r="J922" s="5" t="s">
        <v>2016</v>
      </c>
      <c r="K922" s="5" t="str">
        <f>VLOOKUP(J922,Sheet2!$A$1:$B$11,2,FALSE)</f>
        <v>Winter Wear</v>
      </c>
      <c r="L922" s="5">
        <v>5</v>
      </c>
      <c r="M922" s="6">
        <v>509</v>
      </c>
      <c r="N922" s="6">
        <v>2545</v>
      </c>
      <c r="O922" s="7">
        <v>0.15</v>
      </c>
      <c r="P922" s="8">
        <f t="shared" si="28"/>
        <v>381.75</v>
      </c>
      <c r="Q922" s="9">
        <f t="shared" si="29"/>
        <v>2163.25</v>
      </c>
      <c r="R922" s="5">
        <v>43</v>
      </c>
      <c r="S922" s="5" t="s">
        <v>2032</v>
      </c>
      <c r="T922" s="5" t="s">
        <v>2037</v>
      </c>
    </row>
    <row r="923" spans="1:20" x14ac:dyDescent="0.25">
      <c r="A923" s="5" t="s">
        <v>936</v>
      </c>
      <c r="B923" s="10">
        <v>45513</v>
      </c>
      <c r="C923" s="5" t="s">
        <v>1014</v>
      </c>
      <c r="D923" s="11" t="s">
        <v>1937</v>
      </c>
      <c r="E923" s="5" t="s">
        <v>2970</v>
      </c>
      <c r="F923" s="5">
        <v>32</v>
      </c>
      <c r="G923" s="5" t="str" cm="1">
        <f t="array" ref="G923">_xlfn.IFS(F923&lt;12,"Child",F923&lt;18,"Teen",F923&lt;25,"Young",F923&lt;40,"Adult",F923&lt;60,"Middle Age",F923&gt;=60,"Old")</f>
        <v>Adult</v>
      </c>
      <c r="H923" s="5" t="s">
        <v>2044</v>
      </c>
      <c r="I923" s="5" t="s">
        <v>2015</v>
      </c>
      <c r="J923" s="5" t="s">
        <v>2018</v>
      </c>
      <c r="K923" s="5" t="str">
        <f>VLOOKUP(J923,Sheet2!$A$1:$B$11,2,FALSE)</f>
        <v>Sportswear</v>
      </c>
      <c r="L923" s="5">
        <v>5</v>
      </c>
      <c r="M923" s="6">
        <v>459</v>
      </c>
      <c r="N923" s="6">
        <v>2295</v>
      </c>
      <c r="O923" s="7">
        <v>0.2</v>
      </c>
      <c r="P923" s="8">
        <f t="shared" si="28"/>
        <v>459</v>
      </c>
      <c r="Q923" s="9">
        <f t="shared" si="29"/>
        <v>1836</v>
      </c>
      <c r="R923" s="5">
        <v>36</v>
      </c>
      <c r="S923" s="5" t="s">
        <v>2034</v>
      </c>
      <c r="T923" s="5" t="s">
        <v>2037</v>
      </c>
    </row>
    <row r="924" spans="1:20" x14ac:dyDescent="0.25">
      <c r="A924" s="5" t="s">
        <v>937</v>
      </c>
      <c r="B924" s="10">
        <v>45413</v>
      </c>
      <c r="C924" s="5" t="s">
        <v>1017</v>
      </c>
      <c r="D924" s="11" t="s">
        <v>1938</v>
      </c>
      <c r="E924" s="5" t="s">
        <v>2971</v>
      </c>
      <c r="F924" s="5">
        <v>30</v>
      </c>
      <c r="G924" s="5" t="str" cm="1">
        <f t="array" ref="G924">_xlfn.IFS(F924&lt;12,"Child",F924&lt;18,"Teen",F924&lt;25,"Young",F924&lt;40,"Adult",F924&lt;60,"Middle Age",F924&gt;=60,"Old")</f>
        <v>Adult</v>
      </c>
      <c r="H924" s="5" t="s">
        <v>2043</v>
      </c>
      <c r="I924" s="5" t="s">
        <v>2045</v>
      </c>
      <c r="J924" s="5" t="s">
        <v>2024</v>
      </c>
      <c r="K924" s="5" t="str">
        <f>VLOOKUP(J924,Sheet2!$A$1:$B$11,2,FALSE)</f>
        <v>Fashion Accessories</v>
      </c>
      <c r="L924" s="5">
        <v>2</v>
      </c>
      <c r="M924" s="6">
        <v>646</v>
      </c>
      <c r="N924" s="6">
        <v>1292</v>
      </c>
      <c r="O924" s="7">
        <v>0</v>
      </c>
      <c r="P924" s="8">
        <f t="shared" si="28"/>
        <v>0</v>
      </c>
      <c r="Q924" s="9">
        <f t="shared" si="29"/>
        <v>1292</v>
      </c>
      <c r="R924" s="5">
        <v>25</v>
      </c>
      <c r="S924" s="5" t="s">
        <v>2034</v>
      </c>
      <c r="T924" s="5" t="s">
        <v>2036</v>
      </c>
    </row>
    <row r="925" spans="1:20" x14ac:dyDescent="0.25">
      <c r="A925" s="5" t="s">
        <v>938</v>
      </c>
      <c r="B925" s="10">
        <v>45604</v>
      </c>
      <c r="C925" s="5" t="s">
        <v>1014</v>
      </c>
      <c r="D925" s="11" t="s">
        <v>1939</v>
      </c>
      <c r="E925" s="5" t="s">
        <v>2972</v>
      </c>
      <c r="F925" s="5">
        <v>57</v>
      </c>
      <c r="G925" s="5" t="str" cm="1">
        <f t="array" ref="G925">_xlfn.IFS(F925&lt;12,"Child",F925&lt;18,"Teen",F925&lt;25,"Young",F925&lt;40,"Adult",F925&lt;60,"Middle Age",F925&gt;=60,"Old")</f>
        <v>Middle Age</v>
      </c>
      <c r="H925" s="5" t="s">
        <v>2043</v>
      </c>
      <c r="I925" s="5" t="s">
        <v>2049</v>
      </c>
      <c r="J925" s="5" t="s">
        <v>2019</v>
      </c>
      <c r="K925" s="5" t="str">
        <f>VLOOKUP(J925,Sheet2!$A$1:$B$11,2,FALSE)</f>
        <v>Formal Wear</v>
      </c>
      <c r="L925" s="5">
        <v>3</v>
      </c>
      <c r="M925" s="6">
        <v>1064</v>
      </c>
      <c r="N925" s="6">
        <v>3192</v>
      </c>
      <c r="O925" s="7">
        <v>0.1</v>
      </c>
      <c r="P925" s="8">
        <f t="shared" si="28"/>
        <v>319.20000000000005</v>
      </c>
      <c r="Q925" s="9">
        <f t="shared" si="29"/>
        <v>2872.8</v>
      </c>
      <c r="R925" s="5">
        <v>57</v>
      </c>
      <c r="S925" s="5" t="s">
        <v>2032</v>
      </c>
      <c r="T925" s="5" t="s">
        <v>2037</v>
      </c>
    </row>
    <row r="926" spans="1:20" x14ac:dyDescent="0.25">
      <c r="A926" s="5" t="s">
        <v>939</v>
      </c>
      <c r="B926" s="10">
        <v>45554</v>
      </c>
      <c r="C926" s="5" t="s">
        <v>1018</v>
      </c>
      <c r="D926" s="11" t="s">
        <v>1940</v>
      </c>
      <c r="E926" s="5" t="s">
        <v>2973</v>
      </c>
      <c r="F926" s="5">
        <v>58</v>
      </c>
      <c r="G926" s="5" t="str" cm="1">
        <f t="array" ref="G926">_xlfn.IFS(F926&lt;12,"Child",F926&lt;18,"Teen",F926&lt;25,"Young",F926&lt;40,"Adult",F926&lt;60,"Middle Age",F926&gt;=60,"Old")</f>
        <v>Middle Age</v>
      </c>
      <c r="H926" s="5" t="s">
        <v>2043</v>
      </c>
      <c r="I926" s="5" t="s">
        <v>2048</v>
      </c>
      <c r="J926" s="5" t="s">
        <v>2024</v>
      </c>
      <c r="K926" s="5" t="str">
        <f>VLOOKUP(J926,Sheet2!$A$1:$B$11,2,FALSE)</f>
        <v>Fashion Accessories</v>
      </c>
      <c r="L926" s="5">
        <v>3</v>
      </c>
      <c r="M926" s="6">
        <v>1184</v>
      </c>
      <c r="N926" s="6">
        <v>3552</v>
      </c>
      <c r="O926" s="7">
        <v>0</v>
      </c>
      <c r="P926" s="8">
        <f t="shared" si="28"/>
        <v>0</v>
      </c>
      <c r="Q926" s="9">
        <f t="shared" si="29"/>
        <v>3552</v>
      </c>
      <c r="R926" s="5">
        <v>71</v>
      </c>
      <c r="S926" s="5" t="s">
        <v>2033</v>
      </c>
      <c r="T926" s="5" t="s">
        <v>2036</v>
      </c>
    </row>
    <row r="927" spans="1:20" x14ac:dyDescent="0.25">
      <c r="A927" s="5" t="s">
        <v>940</v>
      </c>
      <c r="B927" s="10">
        <v>45629</v>
      </c>
      <c r="C927" s="5" t="s">
        <v>1019</v>
      </c>
      <c r="D927" s="11" t="s">
        <v>1941</v>
      </c>
      <c r="E927" s="5" t="s">
        <v>2974</v>
      </c>
      <c r="F927" s="5">
        <v>50</v>
      </c>
      <c r="G927" s="5" t="str" cm="1">
        <f t="array" ref="G927">_xlfn.IFS(F927&lt;12,"Child",F927&lt;18,"Teen",F927&lt;25,"Young",F927&lt;40,"Adult",F927&lt;60,"Middle Age",F927&gt;=60,"Old")</f>
        <v>Middle Age</v>
      </c>
      <c r="H927" s="5" t="s">
        <v>2044</v>
      </c>
      <c r="I927" s="5" t="s">
        <v>2015</v>
      </c>
      <c r="J927" s="5" t="s">
        <v>2023</v>
      </c>
      <c r="K927" s="5" t="str">
        <f>VLOOKUP(J927,Sheet2!$A$1:$B$11,2,FALSE)</f>
        <v>Formal Wear</v>
      </c>
      <c r="L927" s="5">
        <v>1</v>
      </c>
      <c r="M927" s="6">
        <v>914</v>
      </c>
      <c r="N927" s="6">
        <v>914</v>
      </c>
      <c r="O927" s="7">
        <v>0</v>
      </c>
      <c r="P927" s="8">
        <f t="shared" si="28"/>
        <v>0</v>
      </c>
      <c r="Q927" s="9">
        <f t="shared" si="29"/>
        <v>914</v>
      </c>
      <c r="R927" s="5">
        <v>18</v>
      </c>
      <c r="S927" s="5" t="s">
        <v>2034</v>
      </c>
      <c r="T927" s="5" t="s">
        <v>2037</v>
      </c>
    </row>
    <row r="928" spans="1:20" x14ac:dyDescent="0.25">
      <c r="A928" s="5" t="s">
        <v>941</v>
      </c>
      <c r="B928" s="10">
        <v>45357</v>
      </c>
      <c r="C928" s="5" t="s">
        <v>1017</v>
      </c>
      <c r="D928" s="11" t="s">
        <v>1942</v>
      </c>
      <c r="E928" s="5" t="s">
        <v>2975</v>
      </c>
      <c r="F928" s="5">
        <v>57</v>
      </c>
      <c r="G928" s="5" t="str" cm="1">
        <f t="array" ref="G928">_xlfn.IFS(F928&lt;12,"Child",F928&lt;18,"Teen",F928&lt;25,"Young",F928&lt;40,"Adult",F928&lt;60,"Middle Age",F928&gt;=60,"Old")</f>
        <v>Middle Age</v>
      </c>
      <c r="H928" s="5" t="s">
        <v>2044</v>
      </c>
      <c r="I928" s="5" t="s">
        <v>2051</v>
      </c>
      <c r="J928" s="5" t="s">
        <v>2020</v>
      </c>
      <c r="K928" s="5" t="str">
        <f>VLOOKUP(J928,Sheet2!$A$1:$B$11,2,FALSE)</f>
        <v>Summer Wear</v>
      </c>
      <c r="L928" s="5">
        <v>3</v>
      </c>
      <c r="M928" s="6">
        <v>1142</v>
      </c>
      <c r="N928" s="6">
        <v>3426</v>
      </c>
      <c r="O928" s="7">
        <v>0.15</v>
      </c>
      <c r="P928" s="8">
        <f t="shared" si="28"/>
        <v>513.9</v>
      </c>
      <c r="Q928" s="9">
        <f t="shared" si="29"/>
        <v>2912.1</v>
      </c>
      <c r="R928" s="5">
        <v>58</v>
      </c>
      <c r="S928" s="5" t="s">
        <v>2033</v>
      </c>
      <c r="T928" s="5" t="s">
        <v>2037</v>
      </c>
    </row>
    <row r="929" spans="1:20" x14ac:dyDescent="0.25">
      <c r="A929" s="5" t="s">
        <v>942</v>
      </c>
      <c r="B929" s="10">
        <v>45492</v>
      </c>
      <c r="C929" s="5" t="s">
        <v>1014</v>
      </c>
      <c r="D929" s="11" t="s">
        <v>1943</v>
      </c>
      <c r="E929" s="5" t="s">
        <v>2976</v>
      </c>
      <c r="F929" s="5">
        <v>18</v>
      </c>
      <c r="G929" s="5" t="str" cm="1">
        <f t="array" ref="G929">_xlfn.IFS(F929&lt;12,"Child",F929&lt;18,"Teen",F929&lt;25,"Young",F929&lt;40,"Adult",F929&lt;60,"Middle Age",F929&gt;=60,"Old")</f>
        <v>Young</v>
      </c>
      <c r="H929" s="5" t="s">
        <v>2043</v>
      </c>
      <c r="I929" s="5" t="s">
        <v>2047</v>
      </c>
      <c r="J929" s="5" t="s">
        <v>2018</v>
      </c>
      <c r="K929" s="5" t="str">
        <f>VLOOKUP(J929,Sheet2!$A$1:$B$11,2,FALSE)</f>
        <v>Sportswear</v>
      </c>
      <c r="L929" s="5">
        <v>1</v>
      </c>
      <c r="M929" s="6">
        <v>710</v>
      </c>
      <c r="N929" s="6">
        <v>710</v>
      </c>
      <c r="O929" s="7">
        <v>0.1</v>
      </c>
      <c r="P929" s="8">
        <f t="shared" si="28"/>
        <v>71</v>
      </c>
      <c r="Q929" s="9">
        <f t="shared" si="29"/>
        <v>639</v>
      </c>
      <c r="R929" s="5">
        <v>12</v>
      </c>
      <c r="S929" s="5" t="s">
        <v>2032</v>
      </c>
      <c r="T929" s="5" t="s">
        <v>2035</v>
      </c>
    </row>
    <row r="930" spans="1:20" x14ac:dyDescent="0.25">
      <c r="A930" s="5" t="s">
        <v>943</v>
      </c>
      <c r="B930" s="10">
        <v>45666</v>
      </c>
      <c r="C930" s="5" t="s">
        <v>1018</v>
      </c>
      <c r="D930" s="11" t="s">
        <v>1944</v>
      </c>
      <c r="E930" s="5" t="s">
        <v>2977</v>
      </c>
      <c r="F930" s="5">
        <v>53</v>
      </c>
      <c r="G930" s="5" t="str" cm="1">
        <f t="array" ref="G930">_xlfn.IFS(F930&lt;12,"Child",F930&lt;18,"Teen",F930&lt;25,"Young",F930&lt;40,"Adult",F930&lt;60,"Middle Age",F930&gt;=60,"Old")</f>
        <v>Middle Age</v>
      </c>
      <c r="H930" s="5" t="s">
        <v>2044</v>
      </c>
      <c r="I930" s="5" t="s">
        <v>2046</v>
      </c>
      <c r="J930" s="5" t="s">
        <v>2016</v>
      </c>
      <c r="K930" s="5" t="str">
        <f>VLOOKUP(J930,Sheet2!$A$1:$B$11,2,FALSE)</f>
        <v>Winter Wear</v>
      </c>
      <c r="L930" s="5">
        <v>3</v>
      </c>
      <c r="M930" s="6">
        <v>802</v>
      </c>
      <c r="N930" s="6">
        <v>2406</v>
      </c>
      <c r="O930" s="7">
        <v>0.1</v>
      </c>
      <c r="P930" s="8">
        <f t="shared" si="28"/>
        <v>240.60000000000002</v>
      </c>
      <c r="Q930" s="9">
        <f t="shared" si="29"/>
        <v>2165.4</v>
      </c>
      <c r="R930" s="5">
        <v>43</v>
      </c>
      <c r="S930" s="5" t="s">
        <v>2032</v>
      </c>
      <c r="T930" s="5" t="s">
        <v>2035</v>
      </c>
    </row>
    <row r="931" spans="1:20" x14ac:dyDescent="0.25">
      <c r="A931" s="5" t="s">
        <v>944</v>
      </c>
      <c r="B931" s="10">
        <v>45380</v>
      </c>
      <c r="C931" s="5" t="s">
        <v>1014</v>
      </c>
      <c r="D931" s="11" t="s">
        <v>1945</v>
      </c>
      <c r="E931" s="5" t="s">
        <v>2978</v>
      </c>
      <c r="F931" s="5">
        <v>56</v>
      </c>
      <c r="G931" s="5" t="str" cm="1">
        <f t="array" ref="G931">_xlfn.IFS(F931&lt;12,"Child",F931&lt;18,"Teen",F931&lt;25,"Young",F931&lt;40,"Adult",F931&lt;60,"Middle Age",F931&gt;=60,"Old")</f>
        <v>Middle Age</v>
      </c>
      <c r="H931" s="5" t="s">
        <v>2043</v>
      </c>
      <c r="I931" s="5" t="s">
        <v>2051</v>
      </c>
      <c r="J931" s="5" t="s">
        <v>2017</v>
      </c>
      <c r="K931" s="5" t="str">
        <f>VLOOKUP(J931,Sheet2!$A$1:$B$11,2,FALSE)</f>
        <v>Casual Wear</v>
      </c>
      <c r="L931" s="5">
        <v>2</v>
      </c>
      <c r="M931" s="6">
        <v>483</v>
      </c>
      <c r="N931" s="6">
        <v>966</v>
      </c>
      <c r="O931" s="7">
        <v>0.1</v>
      </c>
      <c r="P931" s="8">
        <f t="shared" si="28"/>
        <v>96.600000000000009</v>
      </c>
      <c r="Q931" s="9">
        <f t="shared" si="29"/>
        <v>869.4</v>
      </c>
      <c r="R931" s="5">
        <v>17</v>
      </c>
      <c r="S931" s="5" t="s">
        <v>2034</v>
      </c>
      <c r="T931" s="5" t="s">
        <v>2035</v>
      </c>
    </row>
    <row r="932" spans="1:20" x14ac:dyDescent="0.25">
      <c r="A932" s="5" t="s">
        <v>945</v>
      </c>
      <c r="B932" s="10">
        <v>45563</v>
      </c>
      <c r="C932" s="5" t="s">
        <v>1020</v>
      </c>
      <c r="D932" s="11" t="s">
        <v>1946</v>
      </c>
      <c r="E932" s="5" t="s">
        <v>2979</v>
      </c>
      <c r="F932" s="5">
        <v>26</v>
      </c>
      <c r="G932" s="5" t="str" cm="1">
        <f t="array" ref="G932">_xlfn.IFS(F932&lt;12,"Child",F932&lt;18,"Teen",F932&lt;25,"Young",F932&lt;40,"Adult",F932&lt;60,"Middle Age",F932&gt;=60,"Old")</f>
        <v>Adult</v>
      </c>
      <c r="H932" s="5" t="s">
        <v>2044</v>
      </c>
      <c r="I932" s="5" t="s">
        <v>2049</v>
      </c>
      <c r="J932" s="5" t="s">
        <v>2017</v>
      </c>
      <c r="K932" s="5" t="str">
        <f>VLOOKUP(J932,Sheet2!$A$1:$B$11,2,FALSE)</f>
        <v>Casual Wear</v>
      </c>
      <c r="L932" s="5">
        <v>4</v>
      </c>
      <c r="M932" s="6">
        <v>732</v>
      </c>
      <c r="N932" s="6">
        <v>2928</v>
      </c>
      <c r="O932" s="7">
        <v>0</v>
      </c>
      <c r="P932" s="8">
        <f t="shared" si="28"/>
        <v>0</v>
      </c>
      <c r="Q932" s="9">
        <f t="shared" si="29"/>
        <v>2928</v>
      </c>
      <c r="R932" s="5">
        <v>58</v>
      </c>
      <c r="S932" s="5" t="s">
        <v>2032</v>
      </c>
      <c r="T932" s="5" t="s">
        <v>2037</v>
      </c>
    </row>
    <row r="933" spans="1:20" x14ac:dyDescent="0.25">
      <c r="A933" s="5" t="s">
        <v>946</v>
      </c>
      <c r="B933" s="10">
        <v>45362</v>
      </c>
      <c r="C933" s="5" t="s">
        <v>1016</v>
      </c>
      <c r="D933" s="11" t="s">
        <v>1947</v>
      </c>
      <c r="E933" s="5" t="s">
        <v>2980</v>
      </c>
      <c r="F933" s="5">
        <v>47</v>
      </c>
      <c r="G933" s="5" t="str" cm="1">
        <f t="array" ref="G933">_xlfn.IFS(F933&lt;12,"Child",F933&lt;18,"Teen",F933&lt;25,"Young",F933&lt;40,"Adult",F933&lt;60,"Middle Age",F933&gt;=60,"Old")</f>
        <v>Middle Age</v>
      </c>
      <c r="H933" s="5" t="s">
        <v>2044</v>
      </c>
      <c r="I933" s="5" t="s">
        <v>2046</v>
      </c>
      <c r="J933" s="5" t="s">
        <v>2024</v>
      </c>
      <c r="K933" s="5" t="str">
        <f>VLOOKUP(J933,Sheet2!$A$1:$B$11,2,FALSE)</f>
        <v>Fashion Accessories</v>
      </c>
      <c r="L933" s="5">
        <v>1</v>
      </c>
      <c r="M933" s="6">
        <v>184</v>
      </c>
      <c r="N933" s="6">
        <v>184</v>
      </c>
      <c r="O933" s="7">
        <v>0</v>
      </c>
      <c r="P933" s="8">
        <f t="shared" si="28"/>
        <v>0</v>
      </c>
      <c r="Q933" s="9">
        <f t="shared" si="29"/>
        <v>184</v>
      </c>
      <c r="R933" s="5">
        <v>3</v>
      </c>
      <c r="S933" s="5" t="s">
        <v>2032</v>
      </c>
      <c r="T933" s="5" t="s">
        <v>2035</v>
      </c>
    </row>
    <row r="934" spans="1:20" x14ac:dyDescent="0.25">
      <c r="A934" s="5" t="s">
        <v>947</v>
      </c>
      <c r="B934" s="10">
        <v>45441</v>
      </c>
      <c r="C934" s="5" t="s">
        <v>1017</v>
      </c>
      <c r="D934" s="11" t="s">
        <v>1948</v>
      </c>
      <c r="E934" s="5" t="s">
        <v>2981</v>
      </c>
      <c r="F934" s="5">
        <v>38</v>
      </c>
      <c r="G934" s="5" t="str" cm="1">
        <f t="array" ref="G934">_xlfn.IFS(F934&lt;12,"Child",F934&lt;18,"Teen",F934&lt;25,"Young",F934&lt;40,"Adult",F934&lt;60,"Middle Age",F934&gt;=60,"Old")</f>
        <v>Adult</v>
      </c>
      <c r="H934" s="5" t="s">
        <v>2043</v>
      </c>
      <c r="I934" s="5" t="s">
        <v>2045</v>
      </c>
      <c r="J934" s="5" t="s">
        <v>2024</v>
      </c>
      <c r="K934" s="5" t="str">
        <f>VLOOKUP(J934,Sheet2!$A$1:$B$11,2,FALSE)</f>
        <v>Fashion Accessories</v>
      </c>
      <c r="L934" s="5">
        <v>2</v>
      </c>
      <c r="M934" s="6">
        <v>998</v>
      </c>
      <c r="N934" s="6">
        <v>1996</v>
      </c>
      <c r="O934" s="7">
        <v>0.05</v>
      </c>
      <c r="P934" s="8">
        <f t="shared" si="28"/>
        <v>99.800000000000011</v>
      </c>
      <c r="Q934" s="9">
        <f t="shared" si="29"/>
        <v>1896.2</v>
      </c>
      <c r="R934" s="5">
        <v>37</v>
      </c>
      <c r="S934" s="5" t="s">
        <v>2033</v>
      </c>
      <c r="T934" s="5" t="s">
        <v>2036</v>
      </c>
    </row>
    <row r="935" spans="1:20" x14ac:dyDescent="0.25">
      <c r="A935" s="5" t="s">
        <v>948</v>
      </c>
      <c r="B935" s="10">
        <v>45365</v>
      </c>
      <c r="C935" s="5" t="s">
        <v>1018</v>
      </c>
      <c r="D935" s="11" t="s">
        <v>1949</v>
      </c>
      <c r="E935" s="5" t="s">
        <v>2982</v>
      </c>
      <c r="F935" s="5">
        <v>60</v>
      </c>
      <c r="G935" s="5" t="str" cm="1">
        <f t="array" ref="G935">_xlfn.IFS(F935&lt;12,"Child",F935&lt;18,"Teen",F935&lt;25,"Young",F935&lt;40,"Adult",F935&lt;60,"Middle Age",F935&gt;=60,"Old")</f>
        <v>Old</v>
      </c>
      <c r="H935" s="5" t="s">
        <v>2044</v>
      </c>
      <c r="I935" s="5" t="s">
        <v>2049</v>
      </c>
      <c r="J935" s="5" t="s">
        <v>2019</v>
      </c>
      <c r="K935" s="5" t="str">
        <f>VLOOKUP(J935,Sheet2!$A$1:$B$11,2,FALSE)</f>
        <v>Formal Wear</v>
      </c>
      <c r="L935" s="5">
        <v>4</v>
      </c>
      <c r="M935" s="6">
        <v>1199</v>
      </c>
      <c r="N935" s="6">
        <v>4796</v>
      </c>
      <c r="O935" s="7">
        <v>0.05</v>
      </c>
      <c r="P935" s="8">
        <f t="shared" si="28"/>
        <v>239.8</v>
      </c>
      <c r="Q935" s="9">
        <f t="shared" si="29"/>
        <v>4556.2</v>
      </c>
      <c r="R935" s="5">
        <v>91</v>
      </c>
      <c r="S935" s="5" t="s">
        <v>2033</v>
      </c>
      <c r="T935" s="5" t="s">
        <v>2035</v>
      </c>
    </row>
    <row r="936" spans="1:20" x14ac:dyDescent="0.25">
      <c r="A936" s="5" t="s">
        <v>949</v>
      </c>
      <c r="B936" s="10">
        <v>45405</v>
      </c>
      <c r="C936" s="5" t="s">
        <v>1019</v>
      </c>
      <c r="D936" s="11" t="s">
        <v>1950</v>
      </c>
      <c r="E936" s="5" t="s">
        <v>2983</v>
      </c>
      <c r="F936" s="5">
        <v>21</v>
      </c>
      <c r="G936" s="5" t="str" cm="1">
        <f t="array" ref="G936">_xlfn.IFS(F936&lt;12,"Child",F936&lt;18,"Teen",F936&lt;25,"Young",F936&lt;40,"Adult",F936&lt;60,"Middle Age",F936&gt;=60,"Old")</f>
        <v>Young</v>
      </c>
      <c r="H936" s="5" t="s">
        <v>2043</v>
      </c>
      <c r="I936" s="5" t="s">
        <v>2050</v>
      </c>
      <c r="J936" s="5" t="s">
        <v>2020</v>
      </c>
      <c r="K936" s="5" t="str">
        <f>VLOOKUP(J936,Sheet2!$A$1:$B$11,2,FALSE)</f>
        <v>Summer Wear</v>
      </c>
      <c r="L936" s="5">
        <v>2</v>
      </c>
      <c r="M936" s="6">
        <v>478</v>
      </c>
      <c r="N936" s="6">
        <v>956</v>
      </c>
      <c r="O936" s="7">
        <v>0.2</v>
      </c>
      <c r="P936" s="8">
        <f t="shared" si="28"/>
        <v>191.20000000000002</v>
      </c>
      <c r="Q936" s="9">
        <f t="shared" si="29"/>
        <v>764.8</v>
      </c>
      <c r="R936" s="5">
        <v>15</v>
      </c>
      <c r="S936" s="5" t="s">
        <v>2032</v>
      </c>
      <c r="T936" s="5" t="s">
        <v>2035</v>
      </c>
    </row>
    <row r="937" spans="1:20" x14ac:dyDescent="0.25">
      <c r="A937" s="5" t="s">
        <v>950</v>
      </c>
      <c r="B937" s="10">
        <v>45457</v>
      </c>
      <c r="C937" s="5" t="s">
        <v>1014</v>
      </c>
      <c r="D937" s="11" t="s">
        <v>1951</v>
      </c>
      <c r="E937" s="5" t="s">
        <v>2984</v>
      </c>
      <c r="F937" s="5">
        <v>33</v>
      </c>
      <c r="G937" s="5" t="str" cm="1">
        <f t="array" ref="G937">_xlfn.IFS(F937&lt;12,"Child",F937&lt;18,"Teen",F937&lt;25,"Young",F937&lt;40,"Adult",F937&lt;60,"Middle Age",F937&gt;=60,"Old")</f>
        <v>Adult</v>
      </c>
      <c r="H937" s="5" t="s">
        <v>2044</v>
      </c>
      <c r="I937" s="5" t="s">
        <v>2048</v>
      </c>
      <c r="J937" s="5" t="s">
        <v>2022</v>
      </c>
      <c r="K937" s="5" t="str">
        <f>VLOOKUP(J937,Sheet2!$A$1:$B$11,2,FALSE)</f>
        <v>Sportswear</v>
      </c>
      <c r="L937" s="5">
        <v>4</v>
      </c>
      <c r="M937" s="6">
        <v>486</v>
      </c>
      <c r="N937" s="6">
        <v>1944</v>
      </c>
      <c r="O937" s="7">
        <v>0</v>
      </c>
      <c r="P937" s="8">
        <f t="shared" si="28"/>
        <v>0</v>
      </c>
      <c r="Q937" s="9">
        <f t="shared" si="29"/>
        <v>1944</v>
      </c>
      <c r="R937" s="5">
        <v>38</v>
      </c>
      <c r="S937" s="5" t="s">
        <v>2032</v>
      </c>
      <c r="T937" s="5" t="s">
        <v>2037</v>
      </c>
    </row>
    <row r="938" spans="1:20" x14ac:dyDescent="0.25">
      <c r="A938" s="5" t="s">
        <v>951</v>
      </c>
      <c r="B938" s="10">
        <v>45454</v>
      </c>
      <c r="C938" s="5" t="s">
        <v>1019</v>
      </c>
      <c r="D938" s="11" t="s">
        <v>1952</v>
      </c>
      <c r="E938" s="5" t="s">
        <v>2985</v>
      </c>
      <c r="F938" s="5">
        <v>44</v>
      </c>
      <c r="G938" s="5" t="str" cm="1">
        <f t="array" ref="G938">_xlfn.IFS(F938&lt;12,"Child",F938&lt;18,"Teen",F938&lt;25,"Young",F938&lt;40,"Adult",F938&lt;60,"Middle Age",F938&gt;=60,"Old")</f>
        <v>Middle Age</v>
      </c>
      <c r="H938" s="5" t="s">
        <v>2043</v>
      </c>
      <c r="I938" s="5" t="s">
        <v>2050</v>
      </c>
      <c r="J938" s="5" t="s">
        <v>2018</v>
      </c>
      <c r="K938" s="5" t="str">
        <f>VLOOKUP(J938,Sheet2!$A$1:$B$11,2,FALSE)</f>
        <v>Sportswear</v>
      </c>
      <c r="L938" s="5">
        <v>4</v>
      </c>
      <c r="M938" s="6">
        <v>526</v>
      </c>
      <c r="N938" s="6">
        <v>2104</v>
      </c>
      <c r="O938" s="7">
        <v>0.2</v>
      </c>
      <c r="P938" s="8">
        <f t="shared" si="28"/>
        <v>420.8</v>
      </c>
      <c r="Q938" s="9">
        <f t="shared" si="29"/>
        <v>1683.2</v>
      </c>
      <c r="R938" s="5">
        <v>33</v>
      </c>
      <c r="S938" s="5" t="s">
        <v>2033</v>
      </c>
      <c r="T938" s="5" t="s">
        <v>2035</v>
      </c>
    </row>
    <row r="939" spans="1:20" x14ac:dyDescent="0.25">
      <c r="A939" s="5" t="s">
        <v>952</v>
      </c>
      <c r="B939" s="10">
        <v>45632</v>
      </c>
      <c r="C939" s="5" t="s">
        <v>1014</v>
      </c>
      <c r="D939" s="11" t="s">
        <v>1953</v>
      </c>
      <c r="E939" s="5" t="s">
        <v>2986</v>
      </c>
      <c r="F939" s="5">
        <v>22</v>
      </c>
      <c r="G939" s="5" t="str" cm="1">
        <f t="array" ref="G939">_xlfn.IFS(F939&lt;12,"Child",F939&lt;18,"Teen",F939&lt;25,"Young",F939&lt;40,"Adult",F939&lt;60,"Middle Age",F939&gt;=60,"Old")</f>
        <v>Young</v>
      </c>
      <c r="H939" s="5" t="s">
        <v>2043</v>
      </c>
      <c r="I939" s="5" t="s">
        <v>2053</v>
      </c>
      <c r="J939" s="5" t="s">
        <v>2020</v>
      </c>
      <c r="K939" s="5" t="str">
        <f>VLOOKUP(J939,Sheet2!$A$1:$B$11,2,FALSE)</f>
        <v>Summer Wear</v>
      </c>
      <c r="L939" s="5">
        <v>3</v>
      </c>
      <c r="M939" s="6">
        <v>641</v>
      </c>
      <c r="N939" s="6">
        <v>1923</v>
      </c>
      <c r="O939" s="7">
        <v>0.05</v>
      </c>
      <c r="P939" s="8">
        <f t="shared" si="28"/>
        <v>96.15</v>
      </c>
      <c r="Q939" s="9">
        <f t="shared" si="29"/>
        <v>1826.85</v>
      </c>
      <c r="R939" s="5">
        <v>36</v>
      </c>
      <c r="S939" s="5" t="s">
        <v>2033</v>
      </c>
      <c r="T939" s="5" t="s">
        <v>2035</v>
      </c>
    </row>
    <row r="940" spans="1:20" x14ac:dyDescent="0.25">
      <c r="A940" s="5" t="s">
        <v>953</v>
      </c>
      <c r="B940" s="10">
        <v>45508</v>
      </c>
      <c r="C940" s="5" t="s">
        <v>1015</v>
      </c>
      <c r="D940" s="11" t="s">
        <v>1954</v>
      </c>
      <c r="E940" s="5" t="s">
        <v>2987</v>
      </c>
      <c r="F940" s="5">
        <v>49</v>
      </c>
      <c r="G940" s="5" t="str" cm="1">
        <f t="array" ref="G940">_xlfn.IFS(F940&lt;12,"Child",F940&lt;18,"Teen",F940&lt;25,"Young",F940&lt;40,"Adult",F940&lt;60,"Middle Age",F940&gt;=60,"Old")</f>
        <v>Middle Age</v>
      </c>
      <c r="H940" s="5" t="s">
        <v>2044</v>
      </c>
      <c r="I940" s="5" t="s">
        <v>2050</v>
      </c>
      <c r="J940" s="5" t="s">
        <v>2016</v>
      </c>
      <c r="K940" s="5" t="str">
        <f>VLOOKUP(J940,Sheet2!$A$1:$B$11,2,FALSE)</f>
        <v>Winter Wear</v>
      </c>
      <c r="L940" s="5">
        <v>3</v>
      </c>
      <c r="M940" s="6">
        <v>806</v>
      </c>
      <c r="N940" s="6">
        <v>2418</v>
      </c>
      <c r="O940" s="7">
        <v>0.15</v>
      </c>
      <c r="P940" s="8">
        <f t="shared" si="28"/>
        <v>362.7</v>
      </c>
      <c r="Q940" s="9">
        <f t="shared" si="29"/>
        <v>2055.3000000000002</v>
      </c>
      <c r="R940" s="5">
        <v>41</v>
      </c>
      <c r="S940" s="5" t="s">
        <v>2034</v>
      </c>
      <c r="T940" s="5" t="s">
        <v>2037</v>
      </c>
    </row>
    <row r="941" spans="1:20" x14ac:dyDescent="0.25">
      <c r="A941" s="5" t="s">
        <v>954</v>
      </c>
      <c r="B941" s="10">
        <v>45360</v>
      </c>
      <c r="C941" s="5" t="s">
        <v>1020</v>
      </c>
      <c r="D941" s="11" t="s">
        <v>1955</v>
      </c>
      <c r="E941" s="5" t="s">
        <v>2988</v>
      </c>
      <c r="F941" s="5">
        <v>55</v>
      </c>
      <c r="G941" s="5" t="str" cm="1">
        <f t="array" ref="G941">_xlfn.IFS(F941&lt;12,"Child",F941&lt;18,"Teen",F941&lt;25,"Young",F941&lt;40,"Adult",F941&lt;60,"Middle Age",F941&gt;=60,"Old")</f>
        <v>Middle Age</v>
      </c>
      <c r="H941" s="5" t="s">
        <v>2043</v>
      </c>
      <c r="I941" s="5" t="s">
        <v>2048</v>
      </c>
      <c r="J941" s="5" t="s">
        <v>2023</v>
      </c>
      <c r="K941" s="5" t="str">
        <f>VLOOKUP(J941,Sheet2!$A$1:$B$11,2,FALSE)</f>
        <v>Formal Wear</v>
      </c>
      <c r="L941" s="5">
        <v>3</v>
      </c>
      <c r="M941" s="6">
        <v>662</v>
      </c>
      <c r="N941" s="6">
        <v>1986</v>
      </c>
      <c r="O941" s="7">
        <v>0.15</v>
      </c>
      <c r="P941" s="8">
        <f t="shared" si="28"/>
        <v>297.89999999999998</v>
      </c>
      <c r="Q941" s="9">
        <f t="shared" si="29"/>
        <v>1688.1</v>
      </c>
      <c r="R941" s="5">
        <v>33</v>
      </c>
      <c r="S941" s="5" t="s">
        <v>2034</v>
      </c>
      <c r="T941" s="5" t="s">
        <v>2036</v>
      </c>
    </row>
    <row r="942" spans="1:20" x14ac:dyDescent="0.25">
      <c r="A942" s="5" t="s">
        <v>955</v>
      </c>
      <c r="B942" s="10">
        <v>45641</v>
      </c>
      <c r="C942" s="5" t="s">
        <v>1015</v>
      </c>
      <c r="D942" s="11" t="s">
        <v>1956</v>
      </c>
      <c r="E942" s="5" t="s">
        <v>2989</v>
      </c>
      <c r="F942" s="5">
        <v>27</v>
      </c>
      <c r="G942" s="5" t="str" cm="1">
        <f t="array" ref="G942">_xlfn.IFS(F942&lt;12,"Child",F942&lt;18,"Teen",F942&lt;25,"Young",F942&lt;40,"Adult",F942&lt;60,"Middle Age",F942&gt;=60,"Old")</f>
        <v>Adult</v>
      </c>
      <c r="H942" s="5" t="s">
        <v>2043</v>
      </c>
      <c r="I942" s="5" t="s">
        <v>2045</v>
      </c>
      <c r="J942" s="5" t="s">
        <v>2024</v>
      </c>
      <c r="K942" s="5" t="str">
        <f>VLOOKUP(J942,Sheet2!$A$1:$B$11,2,FALSE)</f>
        <v>Fashion Accessories</v>
      </c>
      <c r="L942" s="5">
        <v>1</v>
      </c>
      <c r="M942" s="6">
        <v>1125</v>
      </c>
      <c r="N942" s="6">
        <v>1125</v>
      </c>
      <c r="O942" s="7">
        <v>0.2</v>
      </c>
      <c r="P942" s="8">
        <f t="shared" si="28"/>
        <v>225</v>
      </c>
      <c r="Q942" s="9">
        <f t="shared" si="29"/>
        <v>900</v>
      </c>
      <c r="R942" s="5">
        <v>18</v>
      </c>
      <c r="S942" s="5" t="s">
        <v>2032</v>
      </c>
      <c r="T942" s="5" t="s">
        <v>2036</v>
      </c>
    </row>
    <row r="943" spans="1:20" x14ac:dyDescent="0.25">
      <c r="A943" s="5" t="s">
        <v>956</v>
      </c>
      <c r="B943" s="10">
        <v>45660</v>
      </c>
      <c r="C943" s="5" t="s">
        <v>1014</v>
      </c>
      <c r="D943" s="11" t="s">
        <v>1957</v>
      </c>
      <c r="E943" s="5" t="s">
        <v>2990</v>
      </c>
      <c r="F943" s="5">
        <v>58</v>
      </c>
      <c r="G943" s="5" t="str" cm="1">
        <f t="array" ref="G943">_xlfn.IFS(F943&lt;12,"Child",F943&lt;18,"Teen",F943&lt;25,"Young",F943&lt;40,"Adult",F943&lt;60,"Middle Age",F943&gt;=60,"Old")</f>
        <v>Middle Age</v>
      </c>
      <c r="H943" s="5" t="s">
        <v>2043</v>
      </c>
      <c r="I943" s="5" t="s">
        <v>2015</v>
      </c>
      <c r="J943" s="5" t="s">
        <v>2017</v>
      </c>
      <c r="K943" s="5" t="str">
        <f>VLOOKUP(J943,Sheet2!$A$1:$B$11,2,FALSE)</f>
        <v>Casual Wear</v>
      </c>
      <c r="L943" s="5">
        <v>5</v>
      </c>
      <c r="M943" s="6">
        <v>955</v>
      </c>
      <c r="N943" s="6">
        <v>4775</v>
      </c>
      <c r="O943" s="7">
        <v>0.2</v>
      </c>
      <c r="P943" s="8">
        <f t="shared" si="28"/>
        <v>955</v>
      </c>
      <c r="Q943" s="9">
        <f t="shared" si="29"/>
        <v>3820</v>
      </c>
      <c r="R943" s="5">
        <v>76</v>
      </c>
      <c r="S943" s="5" t="s">
        <v>2034</v>
      </c>
      <c r="T943" s="5" t="s">
        <v>2035</v>
      </c>
    </row>
    <row r="944" spans="1:20" x14ac:dyDescent="0.25">
      <c r="A944" s="5" t="s">
        <v>957</v>
      </c>
      <c r="B944" s="10">
        <v>45695</v>
      </c>
      <c r="C944" s="5" t="s">
        <v>1014</v>
      </c>
      <c r="D944" s="11" t="s">
        <v>1958</v>
      </c>
      <c r="E944" s="5" t="s">
        <v>2991</v>
      </c>
      <c r="F944" s="5">
        <v>55</v>
      </c>
      <c r="G944" s="5" t="str" cm="1">
        <f t="array" ref="G944">_xlfn.IFS(F944&lt;12,"Child",F944&lt;18,"Teen",F944&lt;25,"Young",F944&lt;40,"Adult",F944&lt;60,"Middle Age",F944&gt;=60,"Old")</f>
        <v>Middle Age</v>
      </c>
      <c r="H944" s="5" t="s">
        <v>2044</v>
      </c>
      <c r="I944" s="5" t="s">
        <v>2046</v>
      </c>
      <c r="J944" s="5" t="s">
        <v>2016</v>
      </c>
      <c r="K944" s="5" t="str">
        <f>VLOOKUP(J944,Sheet2!$A$1:$B$11,2,FALSE)</f>
        <v>Winter Wear</v>
      </c>
      <c r="L944" s="5">
        <v>5</v>
      </c>
      <c r="M944" s="6">
        <v>689</v>
      </c>
      <c r="N944" s="6">
        <v>3445</v>
      </c>
      <c r="O944" s="7">
        <v>0</v>
      </c>
      <c r="P944" s="8">
        <f t="shared" si="28"/>
        <v>0</v>
      </c>
      <c r="Q944" s="9">
        <f t="shared" si="29"/>
        <v>3445</v>
      </c>
      <c r="R944" s="5">
        <v>68</v>
      </c>
      <c r="S944" s="5" t="s">
        <v>2034</v>
      </c>
      <c r="T944" s="5" t="s">
        <v>2035</v>
      </c>
    </row>
    <row r="945" spans="1:20" x14ac:dyDescent="0.25">
      <c r="A945" s="5" t="s">
        <v>958</v>
      </c>
      <c r="B945" s="10">
        <v>45531</v>
      </c>
      <c r="C945" s="5" t="s">
        <v>1019</v>
      </c>
      <c r="D945" s="11" t="s">
        <v>1959</v>
      </c>
      <c r="E945" s="5" t="s">
        <v>2992</v>
      </c>
      <c r="F945" s="5">
        <v>18</v>
      </c>
      <c r="G945" s="5" t="str" cm="1">
        <f t="array" ref="G945">_xlfn.IFS(F945&lt;12,"Child",F945&lt;18,"Teen",F945&lt;25,"Young",F945&lt;40,"Adult",F945&lt;60,"Middle Age",F945&gt;=60,"Old")</f>
        <v>Young</v>
      </c>
      <c r="H945" s="5" t="s">
        <v>2043</v>
      </c>
      <c r="I945" s="5" t="s">
        <v>2048</v>
      </c>
      <c r="J945" s="5" t="s">
        <v>2021</v>
      </c>
      <c r="K945" s="5" t="str">
        <f>VLOOKUP(J945,Sheet2!$A$1:$B$11,2,FALSE)</f>
        <v>Casual Wear</v>
      </c>
      <c r="L945" s="5">
        <v>1</v>
      </c>
      <c r="M945" s="6">
        <v>214</v>
      </c>
      <c r="N945" s="6">
        <v>214</v>
      </c>
      <c r="O945" s="7">
        <v>0</v>
      </c>
      <c r="P945" s="8">
        <f t="shared" si="28"/>
        <v>0</v>
      </c>
      <c r="Q945" s="9">
        <f t="shared" si="29"/>
        <v>214</v>
      </c>
      <c r="R945" s="5">
        <v>4</v>
      </c>
      <c r="S945" s="5" t="s">
        <v>2034</v>
      </c>
      <c r="T945" s="5" t="s">
        <v>2036</v>
      </c>
    </row>
    <row r="946" spans="1:20" x14ac:dyDescent="0.25">
      <c r="A946" s="5" t="s">
        <v>959</v>
      </c>
      <c r="B946" s="10">
        <v>45610</v>
      </c>
      <c r="C946" s="5" t="s">
        <v>1018</v>
      </c>
      <c r="D946" s="11" t="s">
        <v>1960</v>
      </c>
      <c r="E946" s="5" t="s">
        <v>2993</v>
      </c>
      <c r="F946" s="5">
        <v>25</v>
      </c>
      <c r="G946" s="5" t="str" cm="1">
        <f t="array" ref="G946">_xlfn.IFS(F946&lt;12,"Child",F946&lt;18,"Teen",F946&lt;25,"Young",F946&lt;40,"Adult",F946&lt;60,"Middle Age",F946&gt;=60,"Old")</f>
        <v>Adult</v>
      </c>
      <c r="H946" s="5" t="s">
        <v>2044</v>
      </c>
      <c r="I946" s="5" t="s">
        <v>2048</v>
      </c>
      <c r="J946" s="5" t="s">
        <v>2023</v>
      </c>
      <c r="K946" s="5" t="str">
        <f>VLOOKUP(J946,Sheet2!$A$1:$B$11,2,FALSE)</f>
        <v>Formal Wear</v>
      </c>
      <c r="L946" s="5">
        <v>1</v>
      </c>
      <c r="M946" s="6">
        <v>741</v>
      </c>
      <c r="N946" s="6">
        <v>741</v>
      </c>
      <c r="O946" s="7">
        <v>0.1</v>
      </c>
      <c r="P946" s="8">
        <f t="shared" si="28"/>
        <v>74.100000000000009</v>
      </c>
      <c r="Q946" s="9">
        <f t="shared" si="29"/>
        <v>666.9</v>
      </c>
      <c r="R946" s="5">
        <v>13</v>
      </c>
      <c r="S946" s="5" t="s">
        <v>2032</v>
      </c>
      <c r="T946" s="5" t="s">
        <v>2036</v>
      </c>
    </row>
    <row r="947" spans="1:20" x14ac:dyDescent="0.25">
      <c r="A947" s="5" t="s">
        <v>960</v>
      </c>
      <c r="B947" s="10">
        <v>45553</v>
      </c>
      <c r="C947" s="5" t="s">
        <v>1017</v>
      </c>
      <c r="D947" s="11" t="s">
        <v>1961</v>
      </c>
      <c r="E947" s="5" t="s">
        <v>2994</v>
      </c>
      <c r="F947" s="5">
        <v>31</v>
      </c>
      <c r="G947" s="5" t="str" cm="1">
        <f t="array" ref="G947">_xlfn.IFS(F947&lt;12,"Child",F947&lt;18,"Teen",F947&lt;25,"Young",F947&lt;40,"Adult",F947&lt;60,"Middle Age",F947&gt;=60,"Old")</f>
        <v>Adult</v>
      </c>
      <c r="H947" s="5" t="s">
        <v>2043</v>
      </c>
      <c r="I947" s="5" t="s">
        <v>2047</v>
      </c>
      <c r="J947" s="5" t="s">
        <v>2021</v>
      </c>
      <c r="K947" s="5" t="str">
        <f>VLOOKUP(J947,Sheet2!$A$1:$B$11,2,FALSE)</f>
        <v>Casual Wear</v>
      </c>
      <c r="L947" s="5">
        <v>5</v>
      </c>
      <c r="M947" s="6">
        <v>757</v>
      </c>
      <c r="N947" s="6">
        <v>3785</v>
      </c>
      <c r="O947" s="7">
        <v>0.05</v>
      </c>
      <c r="P947" s="8">
        <f t="shared" si="28"/>
        <v>189.25</v>
      </c>
      <c r="Q947" s="9">
        <f t="shared" si="29"/>
        <v>3595.75</v>
      </c>
      <c r="R947" s="5">
        <v>71</v>
      </c>
      <c r="S947" s="5" t="s">
        <v>2034</v>
      </c>
      <c r="T947" s="5" t="s">
        <v>2037</v>
      </c>
    </row>
    <row r="948" spans="1:20" x14ac:dyDescent="0.25">
      <c r="A948" s="5" t="s">
        <v>961</v>
      </c>
      <c r="B948" s="10">
        <v>45439</v>
      </c>
      <c r="C948" s="5" t="s">
        <v>1016</v>
      </c>
      <c r="D948" s="11" t="s">
        <v>1962</v>
      </c>
      <c r="E948" s="5" t="s">
        <v>2995</v>
      </c>
      <c r="F948" s="5">
        <v>58</v>
      </c>
      <c r="G948" s="5" t="str" cm="1">
        <f t="array" ref="G948">_xlfn.IFS(F948&lt;12,"Child",F948&lt;18,"Teen",F948&lt;25,"Young",F948&lt;40,"Adult",F948&lt;60,"Middle Age",F948&gt;=60,"Old")</f>
        <v>Middle Age</v>
      </c>
      <c r="H948" s="5" t="s">
        <v>2044</v>
      </c>
      <c r="I948" s="5" t="s">
        <v>2015</v>
      </c>
      <c r="J948" s="5" t="s">
        <v>2024</v>
      </c>
      <c r="K948" s="5" t="str">
        <f>VLOOKUP(J948,Sheet2!$A$1:$B$11,2,FALSE)</f>
        <v>Fashion Accessories</v>
      </c>
      <c r="L948" s="5">
        <v>4</v>
      </c>
      <c r="M948" s="6">
        <v>757</v>
      </c>
      <c r="N948" s="6">
        <v>3028</v>
      </c>
      <c r="O948" s="7">
        <v>0.15</v>
      </c>
      <c r="P948" s="8">
        <f t="shared" si="28"/>
        <v>454.2</v>
      </c>
      <c r="Q948" s="9">
        <f t="shared" si="29"/>
        <v>2573.8000000000002</v>
      </c>
      <c r="R948" s="5">
        <v>51</v>
      </c>
      <c r="S948" s="5" t="s">
        <v>2033</v>
      </c>
      <c r="T948" s="5" t="s">
        <v>2037</v>
      </c>
    </row>
    <row r="949" spans="1:20" x14ac:dyDescent="0.25">
      <c r="A949" s="5" t="s">
        <v>962</v>
      </c>
      <c r="B949" s="10">
        <v>45661</v>
      </c>
      <c r="C949" s="5" t="s">
        <v>1020</v>
      </c>
      <c r="D949" s="11" t="s">
        <v>1963</v>
      </c>
      <c r="E949" s="5" t="s">
        <v>2996</v>
      </c>
      <c r="F949" s="5">
        <v>58</v>
      </c>
      <c r="G949" s="5" t="str" cm="1">
        <f t="array" ref="G949">_xlfn.IFS(F949&lt;12,"Child",F949&lt;18,"Teen",F949&lt;25,"Young",F949&lt;40,"Adult",F949&lt;60,"Middle Age",F949&gt;=60,"Old")</f>
        <v>Middle Age</v>
      </c>
      <c r="H949" s="5" t="s">
        <v>2044</v>
      </c>
      <c r="I949" s="5" t="s">
        <v>2048</v>
      </c>
      <c r="J949" s="5" t="s">
        <v>2025</v>
      </c>
      <c r="K949" s="5" t="str">
        <f>VLOOKUP(J949,Sheet2!$A$1:$B$11,2,FALSE)</f>
        <v>Formal Wear</v>
      </c>
      <c r="L949" s="5">
        <v>1</v>
      </c>
      <c r="M949" s="6">
        <v>739</v>
      </c>
      <c r="N949" s="6">
        <v>739</v>
      </c>
      <c r="O949" s="7">
        <v>0</v>
      </c>
      <c r="P949" s="8">
        <f t="shared" si="28"/>
        <v>0</v>
      </c>
      <c r="Q949" s="9">
        <f t="shared" si="29"/>
        <v>739</v>
      </c>
      <c r="R949" s="5">
        <v>14</v>
      </c>
      <c r="S949" s="5" t="s">
        <v>2034</v>
      </c>
      <c r="T949" s="5" t="s">
        <v>2035</v>
      </c>
    </row>
    <row r="950" spans="1:20" x14ac:dyDescent="0.25">
      <c r="A950" s="5" t="s">
        <v>963</v>
      </c>
      <c r="B950" s="10">
        <v>45611</v>
      </c>
      <c r="C950" s="5" t="s">
        <v>1014</v>
      </c>
      <c r="D950" s="11" t="s">
        <v>1964</v>
      </c>
      <c r="E950" s="5" t="s">
        <v>2997</v>
      </c>
      <c r="F950" s="5">
        <v>35</v>
      </c>
      <c r="G950" s="5" t="str" cm="1">
        <f t="array" ref="G950">_xlfn.IFS(F950&lt;12,"Child",F950&lt;18,"Teen",F950&lt;25,"Young",F950&lt;40,"Adult",F950&lt;60,"Middle Age",F950&gt;=60,"Old")</f>
        <v>Adult</v>
      </c>
      <c r="H950" s="5" t="s">
        <v>2043</v>
      </c>
      <c r="I950" s="5" t="s">
        <v>2048</v>
      </c>
      <c r="J950" s="5" t="s">
        <v>2017</v>
      </c>
      <c r="K950" s="5" t="str">
        <f>VLOOKUP(J950,Sheet2!$A$1:$B$11,2,FALSE)</f>
        <v>Casual Wear</v>
      </c>
      <c r="L950" s="5">
        <v>3</v>
      </c>
      <c r="M950" s="6">
        <v>919</v>
      </c>
      <c r="N950" s="6">
        <v>2757</v>
      </c>
      <c r="O950" s="7">
        <v>0.1</v>
      </c>
      <c r="P950" s="8">
        <f t="shared" si="28"/>
        <v>275.7</v>
      </c>
      <c r="Q950" s="9">
        <f t="shared" si="29"/>
        <v>2481.3000000000002</v>
      </c>
      <c r="R950" s="5">
        <v>49</v>
      </c>
      <c r="S950" s="5" t="s">
        <v>2032</v>
      </c>
      <c r="T950" s="5" t="s">
        <v>2037</v>
      </c>
    </row>
    <row r="951" spans="1:20" x14ac:dyDescent="0.25">
      <c r="A951" s="5" t="s">
        <v>964</v>
      </c>
      <c r="B951" s="10">
        <v>45667</v>
      </c>
      <c r="C951" s="5" t="s">
        <v>1014</v>
      </c>
      <c r="D951" s="11" t="s">
        <v>1965</v>
      </c>
      <c r="E951" s="5" t="s">
        <v>2998</v>
      </c>
      <c r="F951" s="5">
        <v>36</v>
      </c>
      <c r="G951" s="5" t="str" cm="1">
        <f t="array" ref="G951">_xlfn.IFS(F951&lt;12,"Child",F951&lt;18,"Teen",F951&lt;25,"Young",F951&lt;40,"Adult",F951&lt;60,"Middle Age",F951&gt;=60,"Old")</f>
        <v>Adult</v>
      </c>
      <c r="H951" s="5" t="s">
        <v>2043</v>
      </c>
      <c r="I951" s="5" t="s">
        <v>2053</v>
      </c>
      <c r="J951" s="5" t="s">
        <v>2023</v>
      </c>
      <c r="K951" s="5" t="str">
        <f>VLOOKUP(J951,Sheet2!$A$1:$B$11,2,FALSE)</f>
        <v>Formal Wear</v>
      </c>
      <c r="L951" s="5">
        <v>4</v>
      </c>
      <c r="M951" s="6">
        <v>196</v>
      </c>
      <c r="N951" s="6">
        <v>784</v>
      </c>
      <c r="O951" s="7">
        <v>0.2</v>
      </c>
      <c r="P951" s="8">
        <f t="shared" si="28"/>
        <v>156.80000000000001</v>
      </c>
      <c r="Q951" s="9">
        <f t="shared" si="29"/>
        <v>627.20000000000005</v>
      </c>
      <c r="R951" s="5">
        <v>12</v>
      </c>
      <c r="S951" s="5" t="s">
        <v>2033</v>
      </c>
      <c r="T951" s="5" t="s">
        <v>2037</v>
      </c>
    </row>
    <row r="952" spans="1:20" x14ac:dyDescent="0.25">
      <c r="A952" s="5" t="s">
        <v>965</v>
      </c>
      <c r="B952" s="10">
        <v>45473</v>
      </c>
      <c r="C952" s="5" t="s">
        <v>1015</v>
      </c>
      <c r="D952" s="11" t="s">
        <v>1966</v>
      </c>
      <c r="E952" s="5" t="s">
        <v>2999</v>
      </c>
      <c r="F952" s="5">
        <v>49</v>
      </c>
      <c r="G952" s="5" t="str" cm="1">
        <f t="array" ref="G952">_xlfn.IFS(F952&lt;12,"Child",F952&lt;18,"Teen",F952&lt;25,"Young",F952&lt;40,"Adult",F952&lt;60,"Middle Age",F952&gt;=60,"Old")</f>
        <v>Middle Age</v>
      </c>
      <c r="H952" s="5" t="s">
        <v>2044</v>
      </c>
      <c r="I952" s="5" t="s">
        <v>2049</v>
      </c>
      <c r="J952" s="5" t="s">
        <v>2017</v>
      </c>
      <c r="K952" s="5" t="str">
        <f>VLOOKUP(J952,Sheet2!$A$1:$B$11,2,FALSE)</f>
        <v>Casual Wear</v>
      </c>
      <c r="L952" s="5">
        <v>5</v>
      </c>
      <c r="M952" s="6">
        <v>373</v>
      </c>
      <c r="N952" s="6">
        <v>1865</v>
      </c>
      <c r="O952" s="7">
        <v>0</v>
      </c>
      <c r="P952" s="8">
        <f t="shared" si="28"/>
        <v>0</v>
      </c>
      <c r="Q952" s="9">
        <f t="shared" si="29"/>
        <v>1865</v>
      </c>
      <c r="R952" s="5">
        <v>37</v>
      </c>
      <c r="S952" s="5" t="s">
        <v>2034</v>
      </c>
      <c r="T952" s="5" t="s">
        <v>2035</v>
      </c>
    </row>
    <row r="953" spans="1:20" x14ac:dyDescent="0.25">
      <c r="A953" s="5" t="s">
        <v>966</v>
      </c>
      <c r="B953" s="10">
        <v>45423</v>
      </c>
      <c r="C953" s="5" t="s">
        <v>1020</v>
      </c>
      <c r="D953" s="11" t="s">
        <v>1967</v>
      </c>
      <c r="E953" s="5" t="s">
        <v>3000</v>
      </c>
      <c r="F953" s="5">
        <v>58</v>
      </c>
      <c r="G953" s="5" t="str" cm="1">
        <f t="array" ref="G953">_xlfn.IFS(F953&lt;12,"Child",F953&lt;18,"Teen",F953&lt;25,"Young",F953&lt;40,"Adult",F953&lt;60,"Middle Age",F953&gt;=60,"Old")</f>
        <v>Middle Age</v>
      </c>
      <c r="H953" s="5" t="s">
        <v>2044</v>
      </c>
      <c r="I953" s="5" t="s">
        <v>2049</v>
      </c>
      <c r="J953" s="5" t="s">
        <v>2021</v>
      </c>
      <c r="K953" s="5" t="str">
        <f>VLOOKUP(J953,Sheet2!$A$1:$B$11,2,FALSE)</f>
        <v>Casual Wear</v>
      </c>
      <c r="L953" s="5">
        <v>3</v>
      </c>
      <c r="M953" s="6">
        <v>465</v>
      </c>
      <c r="N953" s="6">
        <v>1395</v>
      </c>
      <c r="O953" s="7">
        <v>0</v>
      </c>
      <c r="P953" s="8">
        <f t="shared" si="28"/>
        <v>0</v>
      </c>
      <c r="Q953" s="9">
        <f t="shared" si="29"/>
        <v>1395</v>
      </c>
      <c r="R953" s="5">
        <v>27</v>
      </c>
      <c r="S953" s="5" t="s">
        <v>2033</v>
      </c>
      <c r="T953" s="5" t="s">
        <v>2036</v>
      </c>
    </row>
    <row r="954" spans="1:20" x14ac:dyDescent="0.25">
      <c r="A954" s="5" t="s">
        <v>967</v>
      </c>
      <c r="B954" s="10">
        <v>45705</v>
      </c>
      <c r="C954" s="5" t="s">
        <v>1016</v>
      </c>
      <c r="D954" s="11" t="s">
        <v>1968</v>
      </c>
      <c r="E954" s="5" t="s">
        <v>3001</v>
      </c>
      <c r="F954" s="5">
        <v>35</v>
      </c>
      <c r="G954" s="5" t="str" cm="1">
        <f t="array" ref="G954">_xlfn.IFS(F954&lt;12,"Child",F954&lt;18,"Teen",F954&lt;25,"Young",F954&lt;40,"Adult",F954&lt;60,"Middle Age",F954&gt;=60,"Old")</f>
        <v>Adult</v>
      </c>
      <c r="H954" s="5" t="s">
        <v>2044</v>
      </c>
      <c r="I954" s="5" t="s">
        <v>2050</v>
      </c>
      <c r="J954" s="5" t="s">
        <v>2024</v>
      </c>
      <c r="K954" s="5" t="str">
        <f>VLOOKUP(J954,Sheet2!$A$1:$B$11,2,FALSE)</f>
        <v>Fashion Accessories</v>
      </c>
      <c r="L954" s="5">
        <v>4</v>
      </c>
      <c r="M954" s="6">
        <v>679</v>
      </c>
      <c r="N954" s="6">
        <v>2716</v>
      </c>
      <c r="O954" s="7">
        <v>0.05</v>
      </c>
      <c r="P954" s="8">
        <f t="shared" si="28"/>
        <v>135.80000000000001</v>
      </c>
      <c r="Q954" s="9">
        <f t="shared" si="29"/>
        <v>2580.1999999999998</v>
      </c>
      <c r="R954" s="5">
        <v>51</v>
      </c>
      <c r="S954" s="5" t="s">
        <v>2034</v>
      </c>
      <c r="T954" s="5" t="s">
        <v>2035</v>
      </c>
    </row>
    <row r="955" spans="1:20" x14ac:dyDescent="0.25">
      <c r="A955" s="5" t="s">
        <v>968</v>
      </c>
      <c r="B955" s="10">
        <v>45496</v>
      </c>
      <c r="C955" s="5" t="s">
        <v>1019</v>
      </c>
      <c r="D955" s="11" t="s">
        <v>1969</v>
      </c>
      <c r="E955" s="5" t="s">
        <v>3002</v>
      </c>
      <c r="F955" s="5">
        <v>23</v>
      </c>
      <c r="G955" s="5" t="str" cm="1">
        <f t="array" ref="G955">_xlfn.IFS(F955&lt;12,"Child",F955&lt;18,"Teen",F955&lt;25,"Young",F955&lt;40,"Adult",F955&lt;60,"Middle Age",F955&gt;=60,"Old")</f>
        <v>Young</v>
      </c>
      <c r="H955" s="5" t="s">
        <v>2043</v>
      </c>
      <c r="I955" s="5" t="s">
        <v>2015</v>
      </c>
      <c r="J955" s="5" t="s">
        <v>2022</v>
      </c>
      <c r="K955" s="5" t="str">
        <f>VLOOKUP(J955,Sheet2!$A$1:$B$11,2,FALSE)</f>
        <v>Sportswear</v>
      </c>
      <c r="L955" s="5">
        <v>1</v>
      </c>
      <c r="M955" s="6">
        <v>1174</v>
      </c>
      <c r="N955" s="6">
        <v>1174</v>
      </c>
      <c r="O955" s="7">
        <v>0.15</v>
      </c>
      <c r="P955" s="8">
        <f t="shared" si="28"/>
        <v>176.1</v>
      </c>
      <c r="Q955" s="9">
        <f t="shared" si="29"/>
        <v>997.9</v>
      </c>
      <c r="R955" s="5">
        <v>19</v>
      </c>
      <c r="S955" s="5" t="s">
        <v>2032</v>
      </c>
      <c r="T955" s="5" t="s">
        <v>2035</v>
      </c>
    </row>
    <row r="956" spans="1:20" x14ac:dyDescent="0.25">
      <c r="A956" s="5" t="s">
        <v>969</v>
      </c>
      <c r="B956" s="10">
        <v>45662</v>
      </c>
      <c r="C956" s="5" t="s">
        <v>1015</v>
      </c>
      <c r="D956" s="11" t="s">
        <v>1970</v>
      </c>
      <c r="E956" s="5" t="s">
        <v>3003</v>
      </c>
      <c r="F956" s="5">
        <v>29</v>
      </c>
      <c r="G956" s="5" t="str" cm="1">
        <f t="array" ref="G956">_xlfn.IFS(F956&lt;12,"Child",F956&lt;18,"Teen",F956&lt;25,"Young",F956&lt;40,"Adult",F956&lt;60,"Middle Age",F956&gt;=60,"Old")</f>
        <v>Adult</v>
      </c>
      <c r="H956" s="5" t="s">
        <v>2044</v>
      </c>
      <c r="I956" s="5" t="s">
        <v>2048</v>
      </c>
      <c r="J956" s="5" t="s">
        <v>2024</v>
      </c>
      <c r="K956" s="5" t="str">
        <f>VLOOKUP(J956,Sheet2!$A$1:$B$11,2,FALSE)</f>
        <v>Fashion Accessories</v>
      </c>
      <c r="L956" s="5">
        <v>3</v>
      </c>
      <c r="M956" s="6">
        <v>962</v>
      </c>
      <c r="N956" s="6">
        <v>2886</v>
      </c>
      <c r="O956" s="7">
        <v>0.15</v>
      </c>
      <c r="P956" s="8">
        <f t="shared" si="28"/>
        <v>432.9</v>
      </c>
      <c r="Q956" s="9">
        <f t="shared" si="29"/>
        <v>2453.1</v>
      </c>
      <c r="R956" s="5">
        <v>49</v>
      </c>
      <c r="S956" s="5" t="s">
        <v>2034</v>
      </c>
      <c r="T956" s="5" t="s">
        <v>2037</v>
      </c>
    </row>
    <row r="957" spans="1:20" x14ac:dyDescent="0.25">
      <c r="A957" s="5" t="s">
        <v>970</v>
      </c>
      <c r="B957" s="10">
        <v>45575</v>
      </c>
      <c r="C957" s="5" t="s">
        <v>1018</v>
      </c>
      <c r="D957" s="11" t="s">
        <v>1971</v>
      </c>
      <c r="E957" s="5" t="s">
        <v>3004</v>
      </c>
      <c r="F957" s="5">
        <v>34</v>
      </c>
      <c r="G957" s="5" t="str" cm="1">
        <f t="array" ref="G957">_xlfn.IFS(F957&lt;12,"Child",F957&lt;18,"Teen",F957&lt;25,"Young",F957&lt;40,"Adult",F957&lt;60,"Middle Age",F957&gt;=60,"Old")</f>
        <v>Adult</v>
      </c>
      <c r="H957" s="5" t="s">
        <v>2044</v>
      </c>
      <c r="I957" s="5" t="s">
        <v>2048</v>
      </c>
      <c r="J957" s="5" t="s">
        <v>2025</v>
      </c>
      <c r="K957" s="5" t="str">
        <f>VLOOKUP(J957,Sheet2!$A$1:$B$11,2,FALSE)</f>
        <v>Formal Wear</v>
      </c>
      <c r="L957" s="5">
        <v>1</v>
      </c>
      <c r="M957" s="6">
        <v>321</v>
      </c>
      <c r="N957" s="6">
        <v>321</v>
      </c>
      <c r="O957" s="7">
        <v>0.2</v>
      </c>
      <c r="P957" s="8">
        <f t="shared" si="28"/>
        <v>64.2</v>
      </c>
      <c r="Q957" s="9">
        <f t="shared" si="29"/>
        <v>256.8</v>
      </c>
      <c r="R957" s="5">
        <v>5</v>
      </c>
      <c r="S957" s="5" t="s">
        <v>2034</v>
      </c>
      <c r="T957" s="5" t="s">
        <v>2035</v>
      </c>
    </row>
    <row r="958" spans="1:20" x14ac:dyDescent="0.25">
      <c r="A958" s="5" t="s">
        <v>971</v>
      </c>
      <c r="B958" s="10">
        <v>45478</v>
      </c>
      <c r="C958" s="5" t="s">
        <v>1014</v>
      </c>
      <c r="D958" s="11" t="s">
        <v>1972</v>
      </c>
      <c r="E958" s="5" t="s">
        <v>3005</v>
      </c>
      <c r="F958" s="5">
        <v>27</v>
      </c>
      <c r="G958" s="5" t="str" cm="1">
        <f t="array" ref="G958">_xlfn.IFS(F958&lt;12,"Child",F958&lt;18,"Teen",F958&lt;25,"Young",F958&lt;40,"Adult",F958&lt;60,"Middle Age",F958&gt;=60,"Old")</f>
        <v>Adult</v>
      </c>
      <c r="H958" s="5" t="s">
        <v>2043</v>
      </c>
      <c r="I958" s="5" t="s">
        <v>2015</v>
      </c>
      <c r="J958" s="5" t="s">
        <v>2016</v>
      </c>
      <c r="K958" s="5" t="str">
        <f>VLOOKUP(J958,Sheet2!$A$1:$B$11,2,FALSE)</f>
        <v>Winter Wear</v>
      </c>
      <c r="L958" s="5">
        <v>4</v>
      </c>
      <c r="M958" s="6">
        <v>874</v>
      </c>
      <c r="N958" s="6">
        <v>3496</v>
      </c>
      <c r="O958" s="7">
        <v>0.15</v>
      </c>
      <c r="P958" s="8">
        <f t="shared" si="28"/>
        <v>524.4</v>
      </c>
      <c r="Q958" s="9">
        <f t="shared" si="29"/>
        <v>2971.6</v>
      </c>
      <c r="R958" s="5">
        <v>59</v>
      </c>
      <c r="S958" s="5" t="s">
        <v>2032</v>
      </c>
      <c r="T958" s="5" t="s">
        <v>2036</v>
      </c>
    </row>
    <row r="959" spans="1:20" x14ac:dyDescent="0.25">
      <c r="A959" s="5" t="s">
        <v>972</v>
      </c>
      <c r="B959" s="10">
        <v>45454</v>
      </c>
      <c r="C959" s="5" t="s">
        <v>1019</v>
      </c>
      <c r="D959" s="11" t="s">
        <v>1973</v>
      </c>
      <c r="E959" s="5" t="s">
        <v>3006</v>
      </c>
      <c r="F959" s="5">
        <v>38</v>
      </c>
      <c r="G959" s="5" t="str" cm="1">
        <f t="array" ref="G959">_xlfn.IFS(F959&lt;12,"Child",F959&lt;18,"Teen",F959&lt;25,"Young",F959&lt;40,"Adult",F959&lt;60,"Middle Age",F959&gt;=60,"Old")</f>
        <v>Adult</v>
      </c>
      <c r="H959" s="5" t="s">
        <v>2043</v>
      </c>
      <c r="I959" s="5" t="s">
        <v>2047</v>
      </c>
      <c r="J959" s="5" t="s">
        <v>2021</v>
      </c>
      <c r="K959" s="5" t="str">
        <f>VLOOKUP(J959,Sheet2!$A$1:$B$11,2,FALSE)</f>
        <v>Casual Wear</v>
      </c>
      <c r="L959" s="5">
        <v>4</v>
      </c>
      <c r="M959" s="6">
        <v>246</v>
      </c>
      <c r="N959" s="6">
        <v>984</v>
      </c>
      <c r="O959" s="7">
        <v>0.05</v>
      </c>
      <c r="P959" s="8">
        <f t="shared" si="28"/>
        <v>49.2</v>
      </c>
      <c r="Q959" s="9">
        <f t="shared" si="29"/>
        <v>934.8</v>
      </c>
      <c r="R959" s="5">
        <v>18</v>
      </c>
      <c r="S959" s="5" t="s">
        <v>2033</v>
      </c>
      <c r="T959" s="5" t="s">
        <v>2037</v>
      </c>
    </row>
    <row r="960" spans="1:20" x14ac:dyDescent="0.25">
      <c r="A960" s="5" t="s">
        <v>973</v>
      </c>
      <c r="B960" s="10">
        <v>45626</v>
      </c>
      <c r="C960" s="5" t="s">
        <v>1020</v>
      </c>
      <c r="D960" s="11" t="s">
        <v>1974</v>
      </c>
      <c r="E960" s="5" t="s">
        <v>3007</v>
      </c>
      <c r="F960" s="5">
        <v>42</v>
      </c>
      <c r="G960" s="5" t="str" cm="1">
        <f t="array" ref="G960">_xlfn.IFS(F960&lt;12,"Child",F960&lt;18,"Teen",F960&lt;25,"Young",F960&lt;40,"Adult",F960&lt;60,"Middle Age",F960&gt;=60,"Old")</f>
        <v>Middle Age</v>
      </c>
      <c r="H960" s="5" t="s">
        <v>2043</v>
      </c>
      <c r="I960" s="5" t="s">
        <v>2053</v>
      </c>
      <c r="J960" s="5" t="s">
        <v>2025</v>
      </c>
      <c r="K960" s="5" t="str">
        <f>VLOOKUP(J960,Sheet2!$A$1:$B$11,2,FALSE)</f>
        <v>Formal Wear</v>
      </c>
      <c r="L960" s="5">
        <v>5</v>
      </c>
      <c r="M960" s="6">
        <v>1004</v>
      </c>
      <c r="N960" s="6">
        <v>5020</v>
      </c>
      <c r="O960" s="7">
        <v>0.2</v>
      </c>
      <c r="P960" s="8">
        <f t="shared" si="28"/>
        <v>1004</v>
      </c>
      <c r="Q960" s="9">
        <f t="shared" si="29"/>
        <v>4016</v>
      </c>
      <c r="R960" s="5">
        <v>80</v>
      </c>
      <c r="S960" s="5" t="s">
        <v>2034</v>
      </c>
      <c r="T960" s="5" t="s">
        <v>2037</v>
      </c>
    </row>
    <row r="961" spans="1:20" x14ac:dyDescent="0.25">
      <c r="A961" s="5" t="s">
        <v>974</v>
      </c>
      <c r="B961" s="10">
        <v>45652</v>
      </c>
      <c r="C961" s="5" t="s">
        <v>1018</v>
      </c>
      <c r="D961" s="11" t="s">
        <v>1975</v>
      </c>
      <c r="E961" s="5" t="s">
        <v>3008</v>
      </c>
      <c r="F961" s="5">
        <v>29</v>
      </c>
      <c r="G961" s="5" t="str" cm="1">
        <f t="array" ref="G961">_xlfn.IFS(F961&lt;12,"Child",F961&lt;18,"Teen",F961&lt;25,"Young",F961&lt;40,"Adult",F961&lt;60,"Middle Age",F961&gt;=60,"Old")</f>
        <v>Adult</v>
      </c>
      <c r="H961" s="5" t="s">
        <v>2043</v>
      </c>
      <c r="I961" s="5" t="s">
        <v>2051</v>
      </c>
      <c r="J961" s="5" t="s">
        <v>2023</v>
      </c>
      <c r="K961" s="5" t="str">
        <f>VLOOKUP(J961,Sheet2!$A$1:$B$11,2,FALSE)</f>
        <v>Formal Wear</v>
      </c>
      <c r="L961" s="5">
        <v>5</v>
      </c>
      <c r="M961" s="6">
        <v>406</v>
      </c>
      <c r="N961" s="6">
        <v>2030</v>
      </c>
      <c r="O961" s="7">
        <v>0.2</v>
      </c>
      <c r="P961" s="8">
        <f t="shared" si="28"/>
        <v>406</v>
      </c>
      <c r="Q961" s="9">
        <f t="shared" si="29"/>
        <v>1624</v>
      </c>
      <c r="R961" s="5">
        <v>32</v>
      </c>
      <c r="S961" s="5" t="s">
        <v>2032</v>
      </c>
      <c r="T961" s="5" t="s">
        <v>2035</v>
      </c>
    </row>
    <row r="962" spans="1:20" x14ac:dyDescent="0.25">
      <c r="A962" s="5" t="s">
        <v>975</v>
      </c>
      <c r="B962" s="10">
        <v>45683</v>
      </c>
      <c r="C962" s="5" t="s">
        <v>1015</v>
      </c>
      <c r="D962" s="11" t="s">
        <v>1976</v>
      </c>
      <c r="E962" s="5" t="s">
        <v>3009</v>
      </c>
      <c r="F962" s="5">
        <v>59</v>
      </c>
      <c r="G962" s="5" t="str" cm="1">
        <f t="array" ref="G962">_xlfn.IFS(F962&lt;12,"Child",F962&lt;18,"Teen",F962&lt;25,"Young",F962&lt;40,"Adult",F962&lt;60,"Middle Age",F962&gt;=60,"Old")</f>
        <v>Middle Age</v>
      </c>
      <c r="H962" s="5" t="s">
        <v>2043</v>
      </c>
      <c r="I962" s="5" t="s">
        <v>2047</v>
      </c>
      <c r="J962" s="5" t="s">
        <v>2017</v>
      </c>
      <c r="K962" s="5" t="str">
        <f>VLOOKUP(J962,Sheet2!$A$1:$B$11,2,FALSE)</f>
        <v>Casual Wear</v>
      </c>
      <c r="L962" s="5">
        <v>3</v>
      </c>
      <c r="M962" s="6">
        <v>226</v>
      </c>
      <c r="N962" s="6">
        <v>678</v>
      </c>
      <c r="O962" s="7">
        <v>0.05</v>
      </c>
      <c r="P962" s="8">
        <f t="shared" si="28"/>
        <v>33.9</v>
      </c>
      <c r="Q962" s="9">
        <f t="shared" si="29"/>
        <v>644.1</v>
      </c>
      <c r="R962" s="5">
        <v>12</v>
      </c>
      <c r="S962" s="5" t="s">
        <v>2033</v>
      </c>
      <c r="T962" s="5" t="s">
        <v>2037</v>
      </c>
    </row>
    <row r="963" spans="1:20" x14ac:dyDescent="0.25">
      <c r="A963" s="5" t="s">
        <v>976</v>
      </c>
      <c r="B963" s="10">
        <v>45622</v>
      </c>
      <c r="C963" s="5" t="s">
        <v>1019</v>
      </c>
      <c r="D963" s="11" t="s">
        <v>1977</v>
      </c>
      <c r="E963" s="5" t="s">
        <v>3010</v>
      </c>
      <c r="F963" s="5">
        <v>21</v>
      </c>
      <c r="G963" s="5" t="str" cm="1">
        <f t="array" ref="G963">_xlfn.IFS(F963&lt;12,"Child",F963&lt;18,"Teen",F963&lt;25,"Young",F963&lt;40,"Adult",F963&lt;60,"Middle Age",F963&gt;=60,"Old")</f>
        <v>Young</v>
      </c>
      <c r="H963" s="5" t="s">
        <v>2043</v>
      </c>
      <c r="I963" s="5" t="s">
        <v>2051</v>
      </c>
      <c r="J963" s="5" t="s">
        <v>2021</v>
      </c>
      <c r="K963" s="5" t="str">
        <f>VLOOKUP(J963,Sheet2!$A$1:$B$11,2,FALSE)</f>
        <v>Casual Wear</v>
      </c>
      <c r="L963" s="5">
        <v>4</v>
      </c>
      <c r="M963" s="6">
        <v>448</v>
      </c>
      <c r="N963" s="6">
        <v>1792</v>
      </c>
      <c r="O963" s="7">
        <v>0</v>
      </c>
      <c r="P963" s="8">
        <f t="shared" ref="P963:P1005" si="30">N963*O963</f>
        <v>0</v>
      </c>
      <c r="Q963" s="9">
        <f t="shared" ref="Q963:Q1005" si="31">N963-P963</f>
        <v>1792</v>
      </c>
      <c r="R963" s="5">
        <v>35</v>
      </c>
      <c r="S963" s="5" t="s">
        <v>2033</v>
      </c>
      <c r="T963" s="5" t="s">
        <v>2037</v>
      </c>
    </row>
    <row r="964" spans="1:20" x14ac:dyDescent="0.25">
      <c r="A964" s="5" t="s">
        <v>977</v>
      </c>
      <c r="B964" s="10">
        <v>45477</v>
      </c>
      <c r="C964" s="5" t="s">
        <v>1018</v>
      </c>
      <c r="D964" s="11" t="s">
        <v>1978</v>
      </c>
      <c r="E964" s="5" t="s">
        <v>3011</v>
      </c>
      <c r="F964" s="5">
        <v>44</v>
      </c>
      <c r="G964" s="5" t="str" cm="1">
        <f t="array" ref="G964">_xlfn.IFS(F964&lt;12,"Child",F964&lt;18,"Teen",F964&lt;25,"Young",F964&lt;40,"Adult",F964&lt;60,"Middle Age",F964&gt;=60,"Old")</f>
        <v>Middle Age</v>
      </c>
      <c r="H964" s="5" t="s">
        <v>2044</v>
      </c>
      <c r="I964" s="5" t="s">
        <v>2052</v>
      </c>
      <c r="J964" s="5" t="s">
        <v>2024</v>
      </c>
      <c r="K964" s="5" t="str">
        <f>VLOOKUP(J964,Sheet2!$A$1:$B$11,2,FALSE)</f>
        <v>Fashion Accessories</v>
      </c>
      <c r="L964" s="5">
        <v>1</v>
      </c>
      <c r="M964" s="6">
        <v>928</v>
      </c>
      <c r="N964" s="6">
        <v>928</v>
      </c>
      <c r="O964" s="7">
        <v>0.15</v>
      </c>
      <c r="P964" s="8">
        <f t="shared" si="30"/>
        <v>139.19999999999999</v>
      </c>
      <c r="Q964" s="9">
        <f t="shared" si="31"/>
        <v>788.8</v>
      </c>
      <c r="R964" s="5">
        <v>15</v>
      </c>
      <c r="S964" s="5" t="s">
        <v>2034</v>
      </c>
      <c r="T964" s="5" t="s">
        <v>2036</v>
      </c>
    </row>
    <row r="965" spans="1:20" x14ac:dyDescent="0.25">
      <c r="A965" s="5" t="s">
        <v>978</v>
      </c>
      <c r="B965" s="10">
        <v>45557</v>
      </c>
      <c r="C965" s="5" t="s">
        <v>1015</v>
      </c>
      <c r="D965" s="11" t="s">
        <v>1979</v>
      </c>
      <c r="E965" s="5" t="s">
        <v>3012</v>
      </c>
      <c r="F965" s="5">
        <v>21</v>
      </c>
      <c r="G965" s="5" t="str" cm="1">
        <f t="array" ref="G965">_xlfn.IFS(F965&lt;12,"Child",F965&lt;18,"Teen",F965&lt;25,"Young",F965&lt;40,"Adult",F965&lt;60,"Middle Age",F965&gt;=60,"Old")</f>
        <v>Young</v>
      </c>
      <c r="H965" s="5" t="s">
        <v>2044</v>
      </c>
      <c r="I965" s="5" t="s">
        <v>2047</v>
      </c>
      <c r="J965" s="5" t="s">
        <v>2023</v>
      </c>
      <c r="K965" s="5" t="str">
        <f>VLOOKUP(J965,Sheet2!$A$1:$B$11,2,FALSE)</f>
        <v>Formal Wear</v>
      </c>
      <c r="L965" s="5">
        <v>4</v>
      </c>
      <c r="M965" s="6">
        <v>610</v>
      </c>
      <c r="N965" s="6">
        <v>2440</v>
      </c>
      <c r="O965" s="7">
        <v>0.2</v>
      </c>
      <c r="P965" s="8">
        <f t="shared" si="30"/>
        <v>488</v>
      </c>
      <c r="Q965" s="9">
        <f t="shared" si="31"/>
        <v>1952</v>
      </c>
      <c r="R965" s="5">
        <v>39</v>
      </c>
      <c r="S965" s="5" t="s">
        <v>2033</v>
      </c>
      <c r="T965" s="5" t="s">
        <v>2035</v>
      </c>
    </row>
    <row r="966" spans="1:20" x14ac:dyDescent="0.25">
      <c r="A966" s="5" t="s">
        <v>979</v>
      </c>
      <c r="B966" s="10">
        <v>45677</v>
      </c>
      <c r="C966" s="5" t="s">
        <v>1016</v>
      </c>
      <c r="D966" s="11" t="s">
        <v>1980</v>
      </c>
      <c r="E966" s="5" t="s">
        <v>3013</v>
      </c>
      <c r="F966" s="5">
        <v>26</v>
      </c>
      <c r="G966" s="5" t="str" cm="1">
        <f t="array" ref="G966">_xlfn.IFS(F966&lt;12,"Child",F966&lt;18,"Teen",F966&lt;25,"Young",F966&lt;40,"Adult",F966&lt;60,"Middle Age",F966&gt;=60,"Old")</f>
        <v>Adult</v>
      </c>
      <c r="H966" s="5" t="s">
        <v>2043</v>
      </c>
      <c r="I966" s="5" t="s">
        <v>2051</v>
      </c>
      <c r="J966" s="5" t="s">
        <v>2024</v>
      </c>
      <c r="K966" s="5" t="str">
        <f>VLOOKUP(J966,Sheet2!$A$1:$B$11,2,FALSE)</f>
        <v>Fashion Accessories</v>
      </c>
      <c r="L966" s="5">
        <v>2</v>
      </c>
      <c r="M966" s="6">
        <v>453</v>
      </c>
      <c r="N966" s="6">
        <v>906</v>
      </c>
      <c r="O966" s="7">
        <v>0.1</v>
      </c>
      <c r="P966" s="8">
        <f t="shared" si="30"/>
        <v>90.600000000000009</v>
      </c>
      <c r="Q966" s="9">
        <f t="shared" si="31"/>
        <v>815.4</v>
      </c>
      <c r="R966" s="5">
        <v>16</v>
      </c>
      <c r="S966" s="5" t="s">
        <v>2033</v>
      </c>
      <c r="T966" s="5" t="s">
        <v>2036</v>
      </c>
    </row>
    <row r="967" spans="1:20" x14ac:dyDescent="0.25">
      <c r="A967" s="5" t="s">
        <v>980</v>
      </c>
      <c r="B967" s="10">
        <v>45376</v>
      </c>
      <c r="C967" s="5" t="s">
        <v>1016</v>
      </c>
      <c r="D967" s="11" t="s">
        <v>1981</v>
      </c>
      <c r="E967" s="5" t="s">
        <v>3014</v>
      </c>
      <c r="F967" s="5">
        <v>40</v>
      </c>
      <c r="G967" s="5" t="str" cm="1">
        <f t="array" ref="G967">_xlfn.IFS(F967&lt;12,"Child",F967&lt;18,"Teen",F967&lt;25,"Young",F967&lt;40,"Adult",F967&lt;60,"Middle Age",F967&gt;=60,"Old")</f>
        <v>Middle Age</v>
      </c>
      <c r="H967" s="5" t="s">
        <v>2043</v>
      </c>
      <c r="I967" s="5" t="s">
        <v>2046</v>
      </c>
      <c r="J967" s="5" t="s">
        <v>2022</v>
      </c>
      <c r="K967" s="5" t="str">
        <f>VLOOKUP(J967,Sheet2!$A$1:$B$11,2,FALSE)</f>
        <v>Sportswear</v>
      </c>
      <c r="L967" s="5">
        <v>3</v>
      </c>
      <c r="M967" s="6">
        <v>766</v>
      </c>
      <c r="N967" s="6">
        <v>2298</v>
      </c>
      <c r="O967" s="7">
        <v>0.15</v>
      </c>
      <c r="P967" s="8">
        <f t="shared" si="30"/>
        <v>344.7</v>
      </c>
      <c r="Q967" s="9">
        <f t="shared" si="31"/>
        <v>1953.3</v>
      </c>
      <c r="R967" s="5">
        <v>39</v>
      </c>
      <c r="S967" s="5" t="s">
        <v>2032</v>
      </c>
      <c r="T967" s="5" t="s">
        <v>2036</v>
      </c>
    </row>
    <row r="968" spans="1:20" x14ac:dyDescent="0.25">
      <c r="A968" s="5" t="s">
        <v>981</v>
      </c>
      <c r="B968" s="10">
        <v>45445</v>
      </c>
      <c r="C968" s="5" t="s">
        <v>1015</v>
      </c>
      <c r="D968" s="11" t="s">
        <v>1982</v>
      </c>
      <c r="E968" s="5" t="s">
        <v>3015</v>
      </c>
      <c r="F968" s="5">
        <v>37</v>
      </c>
      <c r="G968" s="5" t="str" cm="1">
        <f t="array" ref="G968">_xlfn.IFS(F968&lt;12,"Child",F968&lt;18,"Teen",F968&lt;25,"Young",F968&lt;40,"Adult",F968&lt;60,"Middle Age",F968&gt;=60,"Old")</f>
        <v>Adult</v>
      </c>
      <c r="H968" s="5" t="s">
        <v>2043</v>
      </c>
      <c r="I968" s="5" t="s">
        <v>2047</v>
      </c>
      <c r="J968" s="5" t="s">
        <v>2017</v>
      </c>
      <c r="K968" s="5" t="str">
        <f>VLOOKUP(J968,Sheet2!$A$1:$B$11,2,FALSE)</f>
        <v>Casual Wear</v>
      </c>
      <c r="L968" s="5">
        <v>4</v>
      </c>
      <c r="M968" s="6">
        <v>380</v>
      </c>
      <c r="N968" s="6">
        <v>1520</v>
      </c>
      <c r="O968" s="7">
        <v>0.05</v>
      </c>
      <c r="P968" s="8">
        <f t="shared" si="30"/>
        <v>76</v>
      </c>
      <c r="Q968" s="9">
        <f t="shared" si="31"/>
        <v>1444</v>
      </c>
      <c r="R968" s="5">
        <v>28</v>
      </c>
      <c r="S968" s="5" t="s">
        <v>2032</v>
      </c>
      <c r="T968" s="5" t="s">
        <v>2035</v>
      </c>
    </row>
    <row r="969" spans="1:20" x14ac:dyDescent="0.25">
      <c r="A969" s="5" t="s">
        <v>982</v>
      </c>
      <c r="B969" s="10">
        <v>45510</v>
      </c>
      <c r="C969" s="5" t="s">
        <v>1019</v>
      </c>
      <c r="D969" s="11" t="s">
        <v>1983</v>
      </c>
      <c r="E969" s="5" t="s">
        <v>3016</v>
      </c>
      <c r="F969" s="5">
        <v>44</v>
      </c>
      <c r="G969" s="5" t="str" cm="1">
        <f t="array" ref="G969">_xlfn.IFS(F969&lt;12,"Child",F969&lt;18,"Teen",F969&lt;25,"Young",F969&lt;40,"Adult",F969&lt;60,"Middle Age",F969&gt;=60,"Old")</f>
        <v>Middle Age</v>
      </c>
      <c r="H969" s="5" t="s">
        <v>2043</v>
      </c>
      <c r="I969" s="5" t="s">
        <v>2045</v>
      </c>
      <c r="J969" s="5" t="s">
        <v>2024</v>
      </c>
      <c r="K969" s="5" t="str">
        <f>VLOOKUP(J969,Sheet2!$A$1:$B$11,2,FALSE)</f>
        <v>Fashion Accessories</v>
      </c>
      <c r="L969" s="5">
        <v>4</v>
      </c>
      <c r="M969" s="6">
        <v>674</v>
      </c>
      <c r="N969" s="6">
        <v>2696</v>
      </c>
      <c r="O969" s="7">
        <v>0</v>
      </c>
      <c r="P969" s="8">
        <f t="shared" si="30"/>
        <v>0</v>
      </c>
      <c r="Q969" s="9">
        <f t="shared" si="31"/>
        <v>2696</v>
      </c>
      <c r="R969" s="5">
        <v>53</v>
      </c>
      <c r="S969" s="5" t="s">
        <v>2033</v>
      </c>
      <c r="T969" s="5" t="s">
        <v>2037</v>
      </c>
    </row>
    <row r="970" spans="1:20" x14ac:dyDescent="0.25">
      <c r="A970" s="5" t="s">
        <v>983</v>
      </c>
      <c r="B970" s="10">
        <v>45640</v>
      </c>
      <c r="C970" s="5" t="s">
        <v>1020</v>
      </c>
      <c r="D970" s="11" t="s">
        <v>1984</v>
      </c>
      <c r="E970" s="5" t="s">
        <v>3017</v>
      </c>
      <c r="F970" s="5">
        <v>33</v>
      </c>
      <c r="G970" s="5" t="str" cm="1">
        <f t="array" ref="G970">_xlfn.IFS(F970&lt;12,"Child",F970&lt;18,"Teen",F970&lt;25,"Young",F970&lt;40,"Adult",F970&lt;60,"Middle Age",F970&gt;=60,"Old")</f>
        <v>Adult</v>
      </c>
      <c r="H970" s="5" t="s">
        <v>2043</v>
      </c>
      <c r="I970" s="5" t="s">
        <v>2050</v>
      </c>
      <c r="J970" s="5" t="s">
        <v>2019</v>
      </c>
      <c r="K970" s="5" t="str">
        <f>VLOOKUP(J970,Sheet2!$A$1:$B$11,2,FALSE)</f>
        <v>Formal Wear</v>
      </c>
      <c r="L970" s="5">
        <v>5</v>
      </c>
      <c r="M970" s="6">
        <v>969</v>
      </c>
      <c r="N970" s="6">
        <v>4845</v>
      </c>
      <c r="O970" s="7">
        <v>0.15</v>
      </c>
      <c r="P970" s="8">
        <f t="shared" si="30"/>
        <v>726.75</v>
      </c>
      <c r="Q970" s="9">
        <f t="shared" si="31"/>
        <v>4118.25</v>
      </c>
      <c r="R970" s="5">
        <v>82</v>
      </c>
      <c r="S970" s="5" t="s">
        <v>2033</v>
      </c>
      <c r="T970" s="5" t="s">
        <v>2035</v>
      </c>
    </row>
    <row r="971" spans="1:20" x14ac:dyDescent="0.25">
      <c r="A971" s="5" t="s">
        <v>984</v>
      </c>
      <c r="B971" s="10">
        <v>45610</v>
      </c>
      <c r="C971" s="5" t="s">
        <v>1018</v>
      </c>
      <c r="D971" s="11" t="s">
        <v>1985</v>
      </c>
      <c r="E971" s="5" t="s">
        <v>3018</v>
      </c>
      <c r="F971" s="5">
        <v>50</v>
      </c>
      <c r="G971" s="5" t="str" cm="1">
        <f t="array" ref="G971">_xlfn.IFS(F971&lt;12,"Child",F971&lt;18,"Teen",F971&lt;25,"Young",F971&lt;40,"Adult",F971&lt;60,"Middle Age",F971&gt;=60,"Old")</f>
        <v>Middle Age</v>
      </c>
      <c r="H971" s="5" t="s">
        <v>2044</v>
      </c>
      <c r="I971" s="5" t="s">
        <v>2049</v>
      </c>
      <c r="J971" s="5" t="s">
        <v>2024</v>
      </c>
      <c r="K971" s="5" t="str">
        <f>VLOOKUP(J971,Sheet2!$A$1:$B$11,2,FALSE)</f>
        <v>Fashion Accessories</v>
      </c>
      <c r="L971" s="5">
        <v>2</v>
      </c>
      <c r="M971" s="6">
        <v>402</v>
      </c>
      <c r="N971" s="6">
        <v>804</v>
      </c>
      <c r="O971" s="7">
        <v>0.2</v>
      </c>
      <c r="P971" s="8">
        <f t="shared" si="30"/>
        <v>160.80000000000001</v>
      </c>
      <c r="Q971" s="9">
        <f t="shared" si="31"/>
        <v>643.20000000000005</v>
      </c>
      <c r="R971" s="5">
        <v>12</v>
      </c>
      <c r="S971" s="5" t="s">
        <v>2033</v>
      </c>
      <c r="T971" s="5" t="s">
        <v>2035</v>
      </c>
    </row>
    <row r="972" spans="1:20" x14ac:dyDescent="0.25">
      <c r="A972" s="5" t="s">
        <v>985</v>
      </c>
      <c r="B972" s="10">
        <v>45670</v>
      </c>
      <c r="C972" s="5" t="s">
        <v>1016</v>
      </c>
      <c r="D972" s="11" t="s">
        <v>1986</v>
      </c>
      <c r="E972" s="5" t="s">
        <v>3019</v>
      </c>
      <c r="F972" s="5">
        <v>49</v>
      </c>
      <c r="G972" s="5" t="str" cm="1">
        <f t="array" ref="G972">_xlfn.IFS(F972&lt;12,"Child",F972&lt;18,"Teen",F972&lt;25,"Young",F972&lt;40,"Adult",F972&lt;60,"Middle Age",F972&gt;=60,"Old")</f>
        <v>Middle Age</v>
      </c>
      <c r="H972" s="5" t="s">
        <v>2044</v>
      </c>
      <c r="I972" s="5" t="s">
        <v>2045</v>
      </c>
      <c r="J972" s="5" t="s">
        <v>2019</v>
      </c>
      <c r="K972" s="5" t="str">
        <f>VLOOKUP(J972,Sheet2!$A$1:$B$11,2,FALSE)</f>
        <v>Formal Wear</v>
      </c>
      <c r="L972" s="5">
        <v>3</v>
      </c>
      <c r="M972" s="6">
        <v>986</v>
      </c>
      <c r="N972" s="6">
        <v>2958</v>
      </c>
      <c r="O972" s="7">
        <v>0.2</v>
      </c>
      <c r="P972" s="8">
        <f t="shared" si="30"/>
        <v>591.6</v>
      </c>
      <c r="Q972" s="9">
        <f t="shared" si="31"/>
        <v>2366.4</v>
      </c>
      <c r="R972" s="5">
        <v>47</v>
      </c>
      <c r="S972" s="5" t="s">
        <v>2033</v>
      </c>
      <c r="T972" s="5" t="s">
        <v>2037</v>
      </c>
    </row>
    <row r="973" spans="1:20" x14ac:dyDescent="0.25">
      <c r="A973" s="5" t="s">
        <v>986</v>
      </c>
      <c r="B973" s="10">
        <v>45622</v>
      </c>
      <c r="C973" s="5" t="s">
        <v>1019</v>
      </c>
      <c r="D973" s="11" t="s">
        <v>1987</v>
      </c>
      <c r="E973" s="5" t="s">
        <v>3020</v>
      </c>
      <c r="F973" s="5">
        <v>26</v>
      </c>
      <c r="G973" s="5" t="str" cm="1">
        <f t="array" ref="G973">_xlfn.IFS(F973&lt;12,"Child",F973&lt;18,"Teen",F973&lt;25,"Young",F973&lt;40,"Adult",F973&lt;60,"Middle Age",F973&gt;=60,"Old")</f>
        <v>Adult</v>
      </c>
      <c r="H973" s="5" t="s">
        <v>2044</v>
      </c>
      <c r="I973" s="5" t="s">
        <v>2052</v>
      </c>
      <c r="J973" s="5" t="s">
        <v>2019</v>
      </c>
      <c r="K973" s="5" t="str">
        <f>VLOOKUP(J973,Sheet2!$A$1:$B$11,2,FALSE)</f>
        <v>Formal Wear</v>
      </c>
      <c r="L973" s="5">
        <v>3</v>
      </c>
      <c r="M973" s="6">
        <v>1015</v>
      </c>
      <c r="N973" s="6">
        <v>3045</v>
      </c>
      <c r="O973" s="7">
        <v>0.2</v>
      </c>
      <c r="P973" s="8">
        <f t="shared" si="30"/>
        <v>609</v>
      </c>
      <c r="Q973" s="9">
        <f t="shared" si="31"/>
        <v>2436</v>
      </c>
      <c r="R973" s="5">
        <v>48</v>
      </c>
      <c r="S973" s="5" t="s">
        <v>2032</v>
      </c>
      <c r="T973" s="5" t="s">
        <v>2035</v>
      </c>
    </row>
    <row r="974" spans="1:20" x14ac:dyDescent="0.25">
      <c r="A974" s="5" t="s">
        <v>987</v>
      </c>
      <c r="B974" s="10">
        <v>45615</v>
      </c>
      <c r="C974" s="5" t="s">
        <v>1019</v>
      </c>
      <c r="D974" s="11" t="s">
        <v>1988</v>
      </c>
      <c r="E974" s="5" t="s">
        <v>3021</v>
      </c>
      <c r="F974" s="5">
        <v>52</v>
      </c>
      <c r="G974" s="5" t="str" cm="1">
        <f t="array" ref="G974">_xlfn.IFS(F974&lt;12,"Child",F974&lt;18,"Teen",F974&lt;25,"Young",F974&lt;40,"Adult",F974&lt;60,"Middle Age",F974&gt;=60,"Old")</f>
        <v>Middle Age</v>
      </c>
      <c r="H974" s="5" t="s">
        <v>2043</v>
      </c>
      <c r="I974" s="5" t="s">
        <v>2050</v>
      </c>
      <c r="J974" s="5" t="s">
        <v>2022</v>
      </c>
      <c r="K974" s="5" t="str">
        <f>VLOOKUP(J974,Sheet2!$A$1:$B$11,2,FALSE)</f>
        <v>Sportswear</v>
      </c>
      <c r="L974" s="5">
        <v>2</v>
      </c>
      <c r="M974" s="6">
        <v>1197</v>
      </c>
      <c r="N974" s="6">
        <v>2394</v>
      </c>
      <c r="O974" s="7">
        <v>0.1</v>
      </c>
      <c r="P974" s="8">
        <f t="shared" si="30"/>
        <v>239.4</v>
      </c>
      <c r="Q974" s="9">
        <f t="shared" si="31"/>
        <v>2154.6</v>
      </c>
      <c r="R974" s="5">
        <v>43</v>
      </c>
      <c r="S974" s="5" t="s">
        <v>2032</v>
      </c>
      <c r="T974" s="5" t="s">
        <v>2036</v>
      </c>
    </row>
    <row r="975" spans="1:20" x14ac:dyDescent="0.25">
      <c r="A975" s="5" t="s">
        <v>988</v>
      </c>
      <c r="B975" s="10">
        <v>45590</v>
      </c>
      <c r="C975" s="5" t="s">
        <v>1014</v>
      </c>
      <c r="D975" s="11" t="s">
        <v>1989</v>
      </c>
      <c r="E975" s="5" t="s">
        <v>3022</v>
      </c>
      <c r="F975" s="5">
        <v>47</v>
      </c>
      <c r="G975" s="5" t="str" cm="1">
        <f t="array" ref="G975">_xlfn.IFS(F975&lt;12,"Child",F975&lt;18,"Teen",F975&lt;25,"Young",F975&lt;40,"Adult",F975&lt;60,"Middle Age",F975&gt;=60,"Old")</f>
        <v>Middle Age</v>
      </c>
      <c r="H975" s="5" t="s">
        <v>2043</v>
      </c>
      <c r="I975" s="5" t="s">
        <v>2053</v>
      </c>
      <c r="J975" s="5" t="s">
        <v>2021</v>
      </c>
      <c r="K975" s="5" t="str">
        <f>VLOOKUP(J975,Sheet2!$A$1:$B$11,2,FALSE)</f>
        <v>Casual Wear</v>
      </c>
      <c r="L975" s="5">
        <v>3</v>
      </c>
      <c r="M975" s="6">
        <v>638</v>
      </c>
      <c r="N975" s="6">
        <v>1914</v>
      </c>
      <c r="O975" s="7">
        <v>0.15</v>
      </c>
      <c r="P975" s="8">
        <f t="shared" si="30"/>
        <v>287.09999999999997</v>
      </c>
      <c r="Q975" s="9">
        <f t="shared" si="31"/>
        <v>1626.9</v>
      </c>
      <c r="R975" s="5">
        <v>32</v>
      </c>
      <c r="S975" s="5" t="s">
        <v>2033</v>
      </c>
      <c r="T975" s="5" t="s">
        <v>2036</v>
      </c>
    </row>
    <row r="976" spans="1:20" x14ac:dyDescent="0.25">
      <c r="A976" s="5" t="s">
        <v>989</v>
      </c>
      <c r="B976" s="10">
        <v>45483</v>
      </c>
      <c r="C976" s="5" t="s">
        <v>1017</v>
      </c>
      <c r="D976" s="11" t="s">
        <v>1990</v>
      </c>
      <c r="E976" s="5" t="s">
        <v>3023</v>
      </c>
      <c r="F976" s="5">
        <v>22</v>
      </c>
      <c r="G976" s="5" t="str" cm="1">
        <f t="array" ref="G976">_xlfn.IFS(F976&lt;12,"Child",F976&lt;18,"Teen",F976&lt;25,"Young",F976&lt;40,"Adult",F976&lt;60,"Middle Age",F976&gt;=60,"Old")</f>
        <v>Young</v>
      </c>
      <c r="H976" s="5" t="s">
        <v>2043</v>
      </c>
      <c r="I976" s="5" t="s">
        <v>2050</v>
      </c>
      <c r="J976" s="5" t="s">
        <v>2023</v>
      </c>
      <c r="K976" s="5" t="str">
        <f>VLOOKUP(J976,Sheet2!$A$1:$B$11,2,FALSE)</f>
        <v>Formal Wear</v>
      </c>
      <c r="L976" s="5">
        <v>3</v>
      </c>
      <c r="M976" s="6">
        <v>946</v>
      </c>
      <c r="N976" s="6">
        <v>2838</v>
      </c>
      <c r="O976" s="7">
        <v>0.2</v>
      </c>
      <c r="P976" s="8">
        <f t="shared" si="30"/>
        <v>567.6</v>
      </c>
      <c r="Q976" s="9">
        <f t="shared" si="31"/>
        <v>2270.4</v>
      </c>
      <c r="R976" s="5">
        <v>45</v>
      </c>
      <c r="S976" s="5" t="s">
        <v>2033</v>
      </c>
      <c r="T976" s="5" t="s">
        <v>2037</v>
      </c>
    </row>
    <row r="977" spans="1:20" x14ac:dyDescent="0.25">
      <c r="A977" s="5" t="s">
        <v>990</v>
      </c>
      <c r="B977" s="10">
        <v>45689</v>
      </c>
      <c r="C977" s="5" t="s">
        <v>1020</v>
      </c>
      <c r="D977" s="11" t="s">
        <v>1991</v>
      </c>
      <c r="E977" s="5" t="s">
        <v>3024</v>
      </c>
      <c r="F977" s="5">
        <v>19</v>
      </c>
      <c r="G977" s="5" t="str" cm="1">
        <f t="array" ref="G977">_xlfn.IFS(F977&lt;12,"Child",F977&lt;18,"Teen",F977&lt;25,"Young",F977&lt;40,"Adult",F977&lt;60,"Middle Age",F977&gt;=60,"Old")</f>
        <v>Young</v>
      </c>
      <c r="H977" s="5" t="s">
        <v>2044</v>
      </c>
      <c r="I977" s="5" t="s">
        <v>2050</v>
      </c>
      <c r="J977" s="5" t="s">
        <v>2023</v>
      </c>
      <c r="K977" s="5" t="str">
        <f>VLOOKUP(J977,Sheet2!$A$1:$B$11,2,FALSE)</f>
        <v>Formal Wear</v>
      </c>
      <c r="L977" s="5">
        <v>4</v>
      </c>
      <c r="M977" s="6">
        <v>928</v>
      </c>
      <c r="N977" s="6">
        <v>3712</v>
      </c>
      <c r="O977" s="7">
        <v>0.1</v>
      </c>
      <c r="P977" s="8">
        <f t="shared" si="30"/>
        <v>371.20000000000005</v>
      </c>
      <c r="Q977" s="9">
        <f t="shared" si="31"/>
        <v>3340.8</v>
      </c>
      <c r="R977" s="5">
        <v>66</v>
      </c>
      <c r="S977" s="5" t="s">
        <v>2034</v>
      </c>
      <c r="T977" s="5" t="s">
        <v>2035</v>
      </c>
    </row>
    <row r="978" spans="1:20" x14ac:dyDescent="0.25">
      <c r="A978" s="5" t="s">
        <v>991</v>
      </c>
      <c r="B978" s="10">
        <v>45401</v>
      </c>
      <c r="C978" s="5" t="s">
        <v>1014</v>
      </c>
      <c r="D978" s="11" t="s">
        <v>1992</v>
      </c>
      <c r="E978" s="5" t="s">
        <v>3025</v>
      </c>
      <c r="F978" s="5">
        <v>53</v>
      </c>
      <c r="G978" s="5" t="str" cm="1">
        <f t="array" ref="G978">_xlfn.IFS(F978&lt;12,"Child",F978&lt;18,"Teen",F978&lt;25,"Young",F978&lt;40,"Adult",F978&lt;60,"Middle Age",F978&gt;=60,"Old")</f>
        <v>Middle Age</v>
      </c>
      <c r="H978" s="5" t="s">
        <v>2044</v>
      </c>
      <c r="I978" s="5" t="s">
        <v>2047</v>
      </c>
      <c r="J978" s="5" t="s">
        <v>2016</v>
      </c>
      <c r="K978" s="5" t="str">
        <f>VLOOKUP(J978,Sheet2!$A$1:$B$11,2,FALSE)</f>
        <v>Winter Wear</v>
      </c>
      <c r="L978" s="5">
        <v>1</v>
      </c>
      <c r="M978" s="6">
        <v>402</v>
      </c>
      <c r="N978" s="6">
        <v>402</v>
      </c>
      <c r="O978" s="7">
        <v>0.1</v>
      </c>
      <c r="P978" s="8">
        <f t="shared" si="30"/>
        <v>40.200000000000003</v>
      </c>
      <c r="Q978" s="9">
        <f t="shared" si="31"/>
        <v>361.8</v>
      </c>
      <c r="R978" s="5">
        <v>7</v>
      </c>
      <c r="S978" s="5" t="s">
        <v>2034</v>
      </c>
      <c r="T978" s="5" t="s">
        <v>2036</v>
      </c>
    </row>
    <row r="979" spans="1:20" x14ac:dyDescent="0.25">
      <c r="A979" s="5" t="s">
        <v>992</v>
      </c>
      <c r="B979" s="10">
        <v>45440</v>
      </c>
      <c r="C979" s="5" t="s">
        <v>1019</v>
      </c>
      <c r="D979" s="11" t="s">
        <v>1993</v>
      </c>
      <c r="E979" s="5" t="s">
        <v>3026</v>
      </c>
      <c r="F979" s="5">
        <v>56</v>
      </c>
      <c r="G979" s="5" t="str" cm="1">
        <f t="array" ref="G979">_xlfn.IFS(F979&lt;12,"Child",F979&lt;18,"Teen",F979&lt;25,"Young",F979&lt;40,"Adult",F979&lt;60,"Middle Age",F979&gt;=60,"Old")</f>
        <v>Middle Age</v>
      </c>
      <c r="H979" s="5" t="s">
        <v>2043</v>
      </c>
      <c r="I979" s="5" t="s">
        <v>2053</v>
      </c>
      <c r="J979" s="5" t="s">
        <v>2019</v>
      </c>
      <c r="K979" s="5" t="str">
        <f>VLOOKUP(J979,Sheet2!$A$1:$B$11,2,FALSE)</f>
        <v>Formal Wear</v>
      </c>
      <c r="L979" s="5">
        <v>3</v>
      </c>
      <c r="M979" s="6">
        <v>286</v>
      </c>
      <c r="N979" s="6">
        <v>858</v>
      </c>
      <c r="O979" s="7">
        <v>0.05</v>
      </c>
      <c r="P979" s="8">
        <f t="shared" si="30"/>
        <v>42.900000000000006</v>
      </c>
      <c r="Q979" s="9">
        <f t="shared" si="31"/>
        <v>815.1</v>
      </c>
      <c r="R979" s="5">
        <v>16</v>
      </c>
      <c r="S979" s="5" t="s">
        <v>2034</v>
      </c>
      <c r="T979" s="5" t="s">
        <v>2037</v>
      </c>
    </row>
    <row r="980" spans="1:20" x14ac:dyDescent="0.25">
      <c r="A980" s="5" t="s">
        <v>993</v>
      </c>
      <c r="B980" s="10">
        <v>45599</v>
      </c>
      <c r="C980" s="5" t="s">
        <v>1015</v>
      </c>
      <c r="D980" s="11" t="s">
        <v>1994</v>
      </c>
      <c r="E980" s="5" t="s">
        <v>3027</v>
      </c>
      <c r="F980" s="5">
        <v>58</v>
      </c>
      <c r="G980" s="5" t="str" cm="1">
        <f t="array" ref="G980">_xlfn.IFS(F980&lt;12,"Child",F980&lt;18,"Teen",F980&lt;25,"Young",F980&lt;40,"Adult",F980&lt;60,"Middle Age",F980&gt;=60,"Old")</f>
        <v>Middle Age</v>
      </c>
      <c r="H980" s="5" t="s">
        <v>2044</v>
      </c>
      <c r="I980" s="5" t="s">
        <v>2048</v>
      </c>
      <c r="J980" s="5" t="s">
        <v>2017</v>
      </c>
      <c r="K980" s="5" t="str">
        <f>VLOOKUP(J980,Sheet2!$A$1:$B$11,2,FALSE)</f>
        <v>Casual Wear</v>
      </c>
      <c r="L980" s="5">
        <v>4</v>
      </c>
      <c r="M980" s="6">
        <v>486</v>
      </c>
      <c r="N980" s="6">
        <v>1944</v>
      </c>
      <c r="O980" s="7">
        <v>0.15</v>
      </c>
      <c r="P980" s="8">
        <f t="shared" si="30"/>
        <v>291.59999999999997</v>
      </c>
      <c r="Q980" s="9">
        <f t="shared" si="31"/>
        <v>1652.4</v>
      </c>
      <c r="R980" s="5">
        <v>33</v>
      </c>
      <c r="S980" s="5" t="s">
        <v>2033</v>
      </c>
      <c r="T980" s="5" t="s">
        <v>2035</v>
      </c>
    </row>
    <row r="981" spans="1:20" x14ac:dyDescent="0.25">
      <c r="A981" s="5" t="s">
        <v>994</v>
      </c>
      <c r="B981" s="10">
        <v>45627</v>
      </c>
      <c r="C981" s="5" t="s">
        <v>1015</v>
      </c>
      <c r="D981" s="11" t="s">
        <v>1995</v>
      </c>
      <c r="E981" s="5" t="s">
        <v>3028</v>
      </c>
      <c r="F981" s="5">
        <v>42</v>
      </c>
      <c r="G981" s="5" t="str" cm="1">
        <f t="array" ref="G981">_xlfn.IFS(F981&lt;12,"Child",F981&lt;18,"Teen",F981&lt;25,"Young",F981&lt;40,"Adult",F981&lt;60,"Middle Age",F981&gt;=60,"Old")</f>
        <v>Middle Age</v>
      </c>
      <c r="H981" s="5" t="s">
        <v>2044</v>
      </c>
      <c r="I981" s="5" t="s">
        <v>2050</v>
      </c>
      <c r="J981" s="5" t="s">
        <v>2018</v>
      </c>
      <c r="K981" s="5" t="str">
        <f>VLOOKUP(J981,Sheet2!$A$1:$B$11,2,FALSE)</f>
        <v>Sportswear</v>
      </c>
      <c r="L981" s="5">
        <v>1</v>
      </c>
      <c r="M981" s="6">
        <v>919</v>
      </c>
      <c r="N981" s="6">
        <v>919</v>
      </c>
      <c r="O981" s="7">
        <v>0</v>
      </c>
      <c r="P981" s="8">
        <f t="shared" si="30"/>
        <v>0</v>
      </c>
      <c r="Q981" s="9">
        <f t="shared" si="31"/>
        <v>919</v>
      </c>
      <c r="R981" s="5">
        <v>18</v>
      </c>
      <c r="S981" s="5" t="s">
        <v>2033</v>
      </c>
      <c r="T981" s="5" t="s">
        <v>2036</v>
      </c>
    </row>
    <row r="982" spans="1:20" x14ac:dyDescent="0.25">
      <c r="A982" s="5" t="s">
        <v>995</v>
      </c>
      <c r="B982" s="10">
        <v>45475</v>
      </c>
      <c r="C982" s="5" t="s">
        <v>1019</v>
      </c>
      <c r="D982" s="11" t="s">
        <v>1996</v>
      </c>
      <c r="E982" s="5" t="s">
        <v>3029</v>
      </c>
      <c r="F982" s="5">
        <v>46</v>
      </c>
      <c r="G982" s="5" t="str" cm="1">
        <f t="array" ref="G982">_xlfn.IFS(F982&lt;12,"Child",F982&lt;18,"Teen",F982&lt;25,"Young",F982&lt;40,"Adult",F982&lt;60,"Middle Age",F982&gt;=60,"Old")</f>
        <v>Middle Age</v>
      </c>
      <c r="H982" s="5" t="s">
        <v>2044</v>
      </c>
      <c r="I982" s="5" t="s">
        <v>2048</v>
      </c>
      <c r="J982" s="5" t="s">
        <v>2023</v>
      </c>
      <c r="K982" s="5" t="str">
        <f>VLOOKUP(J982,Sheet2!$A$1:$B$11,2,FALSE)</f>
        <v>Formal Wear</v>
      </c>
      <c r="L982" s="5">
        <v>5</v>
      </c>
      <c r="M982" s="6">
        <v>619</v>
      </c>
      <c r="N982" s="6">
        <v>3095</v>
      </c>
      <c r="O982" s="7">
        <v>0.1</v>
      </c>
      <c r="P982" s="8">
        <f t="shared" si="30"/>
        <v>309.5</v>
      </c>
      <c r="Q982" s="9">
        <f t="shared" si="31"/>
        <v>2785.5</v>
      </c>
      <c r="R982" s="5">
        <v>55</v>
      </c>
      <c r="S982" s="5" t="s">
        <v>2034</v>
      </c>
      <c r="T982" s="5" t="s">
        <v>2036</v>
      </c>
    </row>
    <row r="983" spans="1:20" x14ac:dyDescent="0.25">
      <c r="A983" s="5" t="s">
        <v>996</v>
      </c>
      <c r="B983" s="10">
        <v>45585</v>
      </c>
      <c r="C983" s="5" t="s">
        <v>1015</v>
      </c>
      <c r="D983" s="11" t="s">
        <v>1997</v>
      </c>
      <c r="E983" s="5" t="s">
        <v>3030</v>
      </c>
      <c r="F983" s="5">
        <v>60</v>
      </c>
      <c r="G983" s="5" t="str" cm="1">
        <f t="array" ref="G983">_xlfn.IFS(F983&lt;12,"Child",F983&lt;18,"Teen",F983&lt;25,"Young",F983&lt;40,"Adult",F983&lt;60,"Middle Age",F983&gt;=60,"Old")</f>
        <v>Old</v>
      </c>
      <c r="H983" s="5" t="s">
        <v>2043</v>
      </c>
      <c r="I983" s="5" t="s">
        <v>2049</v>
      </c>
      <c r="J983" s="5" t="s">
        <v>2024</v>
      </c>
      <c r="K983" s="5" t="str">
        <f>VLOOKUP(J983,Sheet2!$A$1:$B$11,2,FALSE)</f>
        <v>Fashion Accessories</v>
      </c>
      <c r="L983" s="5">
        <v>1</v>
      </c>
      <c r="M983" s="6">
        <v>590</v>
      </c>
      <c r="N983" s="6">
        <v>590</v>
      </c>
      <c r="O983" s="7">
        <v>0</v>
      </c>
      <c r="P983" s="8">
        <f t="shared" si="30"/>
        <v>0</v>
      </c>
      <c r="Q983" s="9">
        <f t="shared" si="31"/>
        <v>590</v>
      </c>
      <c r="R983" s="5">
        <v>11</v>
      </c>
      <c r="S983" s="5" t="s">
        <v>2033</v>
      </c>
      <c r="T983" s="5" t="s">
        <v>2036</v>
      </c>
    </row>
    <row r="984" spans="1:20" x14ac:dyDescent="0.25">
      <c r="A984" s="5" t="s">
        <v>997</v>
      </c>
      <c r="B984" s="10">
        <v>45389</v>
      </c>
      <c r="C984" s="5" t="s">
        <v>1015</v>
      </c>
      <c r="D984" s="11" t="s">
        <v>1998</v>
      </c>
      <c r="E984" s="5" t="s">
        <v>3031</v>
      </c>
      <c r="F984" s="5">
        <v>24</v>
      </c>
      <c r="G984" s="5" t="str" cm="1">
        <f t="array" ref="G984">_xlfn.IFS(F984&lt;12,"Child",F984&lt;18,"Teen",F984&lt;25,"Young",F984&lt;40,"Adult",F984&lt;60,"Middle Age",F984&gt;=60,"Old")</f>
        <v>Young</v>
      </c>
      <c r="H984" s="5" t="s">
        <v>2043</v>
      </c>
      <c r="I984" s="5" t="s">
        <v>2045</v>
      </c>
      <c r="J984" s="5" t="s">
        <v>2018</v>
      </c>
      <c r="K984" s="5" t="str">
        <f>VLOOKUP(J984,Sheet2!$A$1:$B$11,2,FALSE)</f>
        <v>Sportswear</v>
      </c>
      <c r="L984" s="5">
        <v>2</v>
      </c>
      <c r="M984" s="6">
        <v>1024</v>
      </c>
      <c r="N984" s="6">
        <v>2048</v>
      </c>
      <c r="O984" s="7">
        <v>0.05</v>
      </c>
      <c r="P984" s="8">
        <f t="shared" si="30"/>
        <v>102.4</v>
      </c>
      <c r="Q984" s="9">
        <f t="shared" si="31"/>
        <v>1945.6</v>
      </c>
      <c r="R984" s="5">
        <v>38</v>
      </c>
      <c r="S984" s="5" t="s">
        <v>2034</v>
      </c>
      <c r="T984" s="5" t="s">
        <v>2037</v>
      </c>
    </row>
    <row r="985" spans="1:20" x14ac:dyDescent="0.25">
      <c r="A985" s="5" t="s">
        <v>998</v>
      </c>
      <c r="B985" s="10">
        <v>45676</v>
      </c>
      <c r="C985" s="5" t="s">
        <v>1015</v>
      </c>
      <c r="D985" s="11" t="s">
        <v>1999</v>
      </c>
      <c r="E985" s="5" t="s">
        <v>3032</v>
      </c>
      <c r="F985" s="5">
        <v>24</v>
      </c>
      <c r="G985" s="5" t="str" cm="1">
        <f t="array" ref="G985">_xlfn.IFS(F985&lt;12,"Child",F985&lt;18,"Teen",F985&lt;25,"Young",F985&lt;40,"Adult",F985&lt;60,"Middle Age",F985&gt;=60,"Old")</f>
        <v>Young</v>
      </c>
      <c r="H985" s="5" t="s">
        <v>2043</v>
      </c>
      <c r="I985" s="5" t="s">
        <v>2046</v>
      </c>
      <c r="J985" s="5" t="s">
        <v>2019</v>
      </c>
      <c r="K985" s="5" t="str">
        <f>VLOOKUP(J985,Sheet2!$A$1:$B$11,2,FALSE)</f>
        <v>Formal Wear</v>
      </c>
      <c r="L985" s="5">
        <v>1</v>
      </c>
      <c r="M985" s="6">
        <v>521</v>
      </c>
      <c r="N985" s="6">
        <v>521</v>
      </c>
      <c r="O985" s="7">
        <v>0</v>
      </c>
      <c r="P985" s="8">
        <f t="shared" si="30"/>
        <v>0</v>
      </c>
      <c r="Q985" s="9">
        <f t="shared" si="31"/>
        <v>521</v>
      </c>
      <c r="R985" s="5">
        <v>10</v>
      </c>
      <c r="S985" s="5" t="s">
        <v>2034</v>
      </c>
      <c r="T985" s="5" t="s">
        <v>2037</v>
      </c>
    </row>
    <row r="986" spans="1:20" x14ac:dyDescent="0.25">
      <c r="A986" s="5" t="s">
        <v>999</v>
      </c>
      <c r="B986" s="10">
        <v>45702</v>
      </c>
      <c r="C986" s="5" t="s">
        <v>1014</v>
      </c>
      <c r="D986" s="11" t="s">
        <v>2000</v>
      </c>
      <c r="E986" s="5" t="s">
        <v>3033</v>
      </c>
      <c r="F986" s="5">
        <v>47</v>
      </c>
      <c r="G986" s="5" t="str" cm="1">
        <f t="array" ref="G986">_xlfn.IFS(F986&lt;12,"Child",F986&lt;18,"Teen",F986&lt;25,"Young",F986&lt;40,"Adult",F986&lt;60,"Middle Age",F986&gt;=60,"Old")</f>
        <v>Middle Age</v>
      </c>
      <c r="H986" s="5" t="s">
        <v>2044</v>
      </c>
      <c r="I986" s="5" t="s">
        <v>2045</v>
      </c>
      <c r="J986" s="5" t="s">
        <v>2024</v>
      </c>
      <c r="K986" s="5" t="str">
        <f>VLOOKUP(J986,Sheet2!$A$1:$B$11,2,FALSE)</f>
        <v>Fashion Accessories</v>
      </c>
      <c r="L986" s="5">
        <v>3</v>
      </c>
      <c r="M986" s="6">
        <v>428</v>
      </c>
      <c r="N986" s="6">
        <v>1284</v>
      </c>
      <c r="O986" s="7">
        <v>0.15</v>
      </c>
      <c r="P986" s="8">
        <f t="shared" si="30"/>
        <v>192.6</v>
      </c>
      <c r="Q986" s="9">
        <f t="shared" si="31"/>
        <v>1091.4000000000001</v>
      </c>
      <c r="R986" s="5">
        <v>21</v>
      </c>
      <c r="S986" s="5" t="s">
        <v>2032</v>
      </c>
      <c r="T986" s="5" t="s">
        <v>2036</v>
      </c>
    </row>
    <row r="987" spans="1:20" x14ac:dyDescent="0.25">
      <c r="A987" s="5" t="s">
        <v>1000</v>
      </c>
      <c r="B987" s="10">
        <v>45562</v>
      </c>
      <c r="C987" s="5" t="s">
        <v>1014</v>
      </c>
      <c r="D987" s="11" t="s">
        <v>2001</v>
      </c>
      <c r="E987" s="5" t="s">
        <v>3034</v>
      </c>
      <c r="F987" s="5">
        <v>36</v>
      </c>
      <c r="G987" s="5" t="str" cm="1">
        <f t="array" ref="G987">_xlfn.IFS(F987&lt;12,"Child",F987&lt;18,"Teen",F987&lt;25,"Young",F987&lt;40,"Adult",F987&lt;60,"Middle Age",F987&gt;=60,"Old")</f>
        <v>Adult</v>
      </c>
      <c r="H987" s="5" t="s">
        <v>2043</v>
      </c>
      <c r="I987" s="5" t="s">
        <v>2048</v>
      </c>
      <c r="J987" s="5" t="s">
        <v>2018</v>
      </c>
      <c r="K987" s="5" t="str">
        <f>VLOOKUP(J987,Sheet2!$A$1:$B$11,2,FALSE)</f>
        <v>Sportswear</v>
      </c>
      <c r="L987" s="5">
        <v>3</v>
      </c>
      <c r="M987" s="6">
        <v>506</v>
      </c>
      <c r="N987" s="6">
        <v>1518</v>
      </c>
      <c r="O987" s="7">
        <v>0</v>
      </c>
      <c r="P987" s="8">
        <f t="shared" si="30"/>
        <v>0</v>
      </c>
      <c r="Q987" s="9">
        <f t="shared" si="31"/>
        <v>1518</v>
      </c>
      <c r="R987" s="5">
        <v>30</v>
      </c>
      <c r="S987" s="5" t="s">
        <v>2034</v>
      </c>
      <c r="T987" s="5" t="s">
        <v>2037</v>
      </c>
    </row>
    <row r="988" spans="1:20" x14ac:dyDescent="0.25">
      <c r="A988" s="5" t="s">
        <v>1001</v>
      </c>
      <c r="B988" s="10">
        <v>45456</v>
      </c>
      <c r="C988" s="5" t="s">
        <v>1018</v>
      </c>
      <c r="D988" s="11" t="s">
        <v>2002</v>
      </c>
      <c r="E988" s="5" t="s">
        <v>3035</v>
      </c>
      <c r="F988" s="5">
        <v>38</v>
      </c>
      <c r="G988" s="5" t="str" cm="1">
        <f t="array" ref="G988">_xlfn.IFS(F988&lt;12,"Child",F988&lt;18,"Teen",F988&lt;25,"Young",F988&lt;40,"Adult",F988&lt;60,"Middle Age",F988&gt;=60,"Old")</f>
        <v>Adult</v>
      </c>
      <c r="H988" s="5" t="s">
        <v>2044</v>
      </c>
      <c r="I988" s="5" t="s">
        <v>2053</v>
      </c>
      <c r="J988" s="5" t="s">
        <v>2024</v>
      </c>
      <c r="K988" s="5" t="str">
        <f>VLOOKUP(J988,Sheet2!$A$1:$B$11,2,FALSE)</f>
        <v>Fashion Accessories</v>
      </c>
      <c r="L988" s="5">
        <v>1</v>
      </c>
      <c r="M988" s="6">
        <v>330</v>
      </c>
      <c r="N988" s="6">
        <v>330</v>
      </c>
      <c r="O988" s="7">
        <v>0</v>
      </c>
      <c r="P988" s="8">
        <f t="shared" si="30"/>
        <v>0</v>
      </c>
      <c r="Q988" s="9">
        <f t="shared" si="31"/>
        <v>330</v>
      </c>
      <c r="R988" s="5">
        <v>6</v>
      </c>
      <c r="S988" s="5" t="s">
        <v>2032</v>
      </c>
      <c r="T988" s="5" t="s">
        <v>2035</v>
      </c>
    </row>
    <row r="989" spans="1:20" x14ac:dyDescent="0.25">
      <c r="A989" s="5" t="s">
        <v>1002</v>
      </c>
      <c r="B989" s="10">
        <v>45704</v>
      </c>
      <c r="C989" s="5" t="s">
        <v>1015</v>
      </c>
      <c r="D989" s="11" t="s">
        <v>2003</v>
      </c>
      <c r="E989" s="5" t="s">
        <v>3036</v>
      </c>
      <c r="F989" s="5">
        <v>34</v>
      </c>
      <c r="G989" s="5" t="str" cm="1">
        <f t="array" ref="G989">_xlfn.IFS(F989&lt;12,"Child",F989&lt;18,"Teen",F989&lt;25,"Young",F989&lt;40,"Adult",F989&lt;60,"Middle Age",F989&gt;=60,"Old")</f>
        <v>Adult</v>
      </c>
      <c r="H989" s="5" t="s">
        <v>2044</v>
      </c>
      <c r="I989" s="5" t="s">
        <v>2047</v>
      </c>
      <c r="J989" s="5" t="s">
        <v>2022</v>
      </c>
      <c r="K989" s="5" t="str">
        <f>VLOOKUP(J989,Sheet2!$A$1:$B$11,2,FALSE)</f>
        <v>Sportswear</v>
      </c>
      <c r="L989" s="5">
        <v>2</v>
      </c>
      <c r="M989" s="6">
        <v>694</v>
      </c>
      <c r="N989" s="6">
        <v>1388</v>
      </c>
      <c r="O989" s="7">
        <v>0</v>
      </c>
      <c r="P989" s="8">
        <f t="shared" si="30"/>
        <v>0</v>
      </c>
      <c r="Q989" s="9">
        <f t="shared" si="31"/>
        <v>1388</v>
      </c>
      <c r="R989" s="5">
        <v>27</v>
      </c>
      <c r="S989" s="5" t="s">
        <v>2032</v>
      </c>
      <c r="T989" s="5" t="s">
        <v>2037</v>
      </c>
    </row>
    <row r="990" spans="1:20" x14ac:dyDescent="0.25">
      <c r="A990" s="5" t="s">
        <v>1003</v>
      </c>
      <c r="B990" s="10">
        <v>45470</v>
      </c>
      <c r="C990" s="5" t="s">
        <v>1018</v>
      </c>
      <c r="D990" s="11" t="s">
        <v>2004</v>
      </c>
      <c r="E990" s="5" t="s">
        <v>3037</v>
      </c>
      <c r="F990" s="5">
        <v>59</v>
      </c>
      <c r="G990" s="5" t="str" cm="1">
        <f t="array" ref="G990">_xlfn.IFS(F990&lt;12,"Child",F990&lt;18,"Teen",F990&lt;25,"Young",F990&lt;40,"Adult",F990&lt;60,"Middle Age",F990&gt;=60,"Old")</f>
        <v>Middle Age</v>
      </c>
      <c r="H990" s="5" t="s">
        <v>2044</v>
      </c>
      <c r="I990" s="5" t="s">
        <v>2053</v>
      </c>
      <c r="J990" s="5" t="s">
        <v>2023</v>
      </c>
      <c r="K990" s="5" t="str">
        <f>VLOOKUP(J990,Sheet2!$A$1:$B$11,2,FALSE)</f>
        <v>Formal Wear</v>
      </c>
      <c r="L990" s="5">
        <v>2</v>
      </c>
      <c r="M990" s="6">
        <v>475</v>
      </c>
      <c r="N990" s="6">
        <v>950</v>
      </c>
      <c r="O990" s="7">
        <v>0.2</v>
      </c>
      <c r="P990" s="8">
        <f t="shared" si="30"/>
        <v>190</v>
      </c>
      <c r="Q990" s="9">
        <f t="shared" si="31"/>
        <v>760</v>
      </c>
      <c r="R990" s="5">
        <v>15</v>
      </c>
      <c r="S990" s="5" t="s">
        <v>2033</v>
      </c>
      <c r="T990" s="5" t="s">
        <v>2037</v>
      </c>
    </row>
    <row r="991" spans="1:20" x14ac:dyDescent="0.25">
      <c r="A991" s="5" t="s">
        <v>1004</v>
      </c>
      <c r="B991" s="10">
        <v>45473</v>
      </c>
      <c r="C991" s="5" t="s">
        <v>1015</v>
      </c>
      <c r="D991" s="11" t="s">
        <v>2005</v>
      </c>
      <c r="E991" s="5" t="s">
        <v>3038</v>
      </c>
      <c r="F991" s="5">
        <v>27</v>
      </c>
      <c r="G991" s="5" t="str" cm="1">
        <f t="array" ref="G991">_xlfn.IFS(F991&lt;12,"Child",F991&lt;18,"Teen",F991&lt;25,"Young",F991&lt;40,"Adult",F991&lt;60,"Middle Age",F991&gt;=60,"Old")</f>
        <v>Adult</v>
      </c>
      <c r="H991" s="5" t="s">
        <v>2044</v>
      </c>
      <c r="I991" s="5" t="s">
        <v>2046</v>
      </c>
      <c r="J991" s="5" t="s">
        <v>2025</v>
      </c>
      <c r="K991" s="5" t="str">
        <f>VLOOKUP(J991,Sheet2!$A$1:$B$11,2,FALSE)</f>
        <v>Formal Wear</v>
      </c>
      <c r="L991" s="5">
        <v>1</v>
      </c>
      <c r="M991" s="6">
        <v>498</v>
      </c>
      <c r="N991" s="6">
        <v>498</v>
      </c>
      <c r="O991" s="7">
        <v>0.1</v>
      </c>
      <c r="P991" s="8">
        <f t="shared" si="30"/>
        <v>49.800000000000004</v>
      </c>
      <c r="Q991" s="9">
        <f t="shared" si="31"/>
        <v>448.2</v>
      </c>
      <c r="R991" s="5">
        <v>8</v>
      </c>
      <c r="S991" s="5" t="s">
        <v>2032</v>
      </c>
      <c r="T991" s="5" t="s">
        <v>2037</v>
      </c>
    </row>
    <row r="992" spans="1:20" x14ac:dyDescent="0.25">
      <c r="A992" s="5" t="s">
        <v>1005</v>
      </c>
      <c r="B992" s="10">
        <v>45598</v>
      </c>
      <c r="C992" s="5" t="s">
        <v>1020</v>
      </c>
      <c r="D992" s="11" t="s">
        <v>2006</v>
      </c>
      <c r="E992" s="5" t="s">
        <v>3039</v>
      </c>
      <c r="F992" s="5">
        <v>51</v>
      </c>
      <c r="G992" s="5" t="str" cm="1">
        <f t="array" ref="G992">_xlfn.IFS(F992&lt;12,"Child",F992&lt;18,"Teen",F992&lt;25,"Young",F992&lt;40,"Adult",F992&lt;60,"Middle Age",F992&gt;=60,"Old")</f>
        <v>Middle Age</v>
      </c>
      <c r="H992" s="5" t="s">
        <v>2044</v>
      </c>
      <c r="I992" s="5" t="s">
        <v>2051</v>
      </c>
      <c r="J992" s="5" t="s">
        <v>2021</v>
      </c>
      <c r="K992" s="5" t="str">
        <f>VLOOKUP(J992,Sheet2!$A$1:$B$11,2,FALSE)</f>
        <v>Casual Wear</v>
      </c>
      <c r="L992" s="5">
        <v>5</v>
      </c>
      <c r="M992" s="6">
        <v>329</v>
      </c>
      <c r="N992" s="6">
        <v>1645</v>
      </c>
      <c r="O992" s="7">
        <v>0.05</v>
      </c>
      <c r="P992" s="8">
        <f t="shared" si="30"/>
        <v>82.25</v>
      </c>
      <c r="Q992" s="9">
        <f t="shared" si="31"/>
        <v>1562.75</v>
      </c>
      <c r="R992" s="5">
        <v>31</v>
      </c>
      <c r="S992" s="5" t="s">
        <v>2034</v>
      </c>
      <c r="T992" s="5" t="s">
        <v>2036</v>
      </c>
    </row>
    <row r="993" spans="1:20" x14ac:dyDescent="0.25">
      <c r="A993" s="5" t="s">
        <v>1006</v>
      </c>
      <c r="B993" s="10">
        <v>45452</v>
      </c>
      <c r="C993" s="5" t="s">
        <v>1015</v>
      </c>
      <c r="D993" s="11" t="s">
        <v>2007</v>
      </c>
      <c r="E993" s="5" t="s">
        <v>3040</v>
      </c>
      <c r="F993" s="5">
        <v>36</v>
      </c>
      <c r="G993" s="5" t="str" cm="1">
        <f t="array" ref="G993">_xlfn.IFS(F993&lt;12,"Child",F993&lt;18,"Teen",F993&lt;25,"Young",F993&lt;40,"Adult",F993&lt;60,"Middle Age",F993&gt;=60,"Old")</f>
        <v>Adult</v>
      </c>
      <c r="H993" s="5" t="s">
        <v>2043</v>
      </c>
      <c r="I993" s="5" t="s">
        <v>2015</v>
      </c>
      <c r="J993" s="5" t="s">
        <v>2022</v>
      </c>
      <c r="K993" s="5" t="str">
        <f>VLOOKUP(J993,Sheet2!$A$1:$B$11,2,FALSE)</f>
        <v>Sportswear</v>
      </c>
      <c r="L993" s="5">
        <v>1</v>
      </c>
      <c r="M993" s="6">
        <v>433</v>
      </c>
      <c r="N993" s="6">
        <v>433</v>
      </c>
      <c r="O993" s="7">
        <v>0.2</v>
      </c>
      <c r="P993" s="8">
        <f t="shared" si="30"/>
        <v>86.600000000000009</v>
      </c>
      <c r="Q993" s="9">
        <f t="shared" si="31"/>
        <v>346.4</v>
      </c>
      <c r="R993" s="5">
        <v>6</v>
      </c>
      <c r="S993" s="5" t="s">
        <v>2032</v>
      </c>
      <c r="T993" s="5" t="s">
        <v>2035</v>
      </c>
    </row>
    <row r="994" spans="1:20" x14ac:dyDescent="0.25">
      <c r="A994" s="5" t="s">
        <v>1007</v>
      </c>
      <c r="B994" s="10">
        <v>45708</v>
      </c>
      <c r="C994" s="5" t="s">
        <v>1018</v>
      </c>
      <c r="D994" s="11" t="s">
        <v>2008</v>
      </c>
      <c r="E994" s="5" t="s">
        <v>3041</v>
      </c>
      <c r="F994" s="5">
        <v>39</v>
      </c>
      <c r="G994" s="5" t="str" cm="1">
        <f t="array" ref="G994">_xlfn.IFS(F994&lt;12,"Child",F994&lt;18,"Teen",F994&lt;25,"Young",F994&lt;40,"Adult",F994&lt;60,"Middle Age",F994&gt;=60,"Old")</f>
        <v>Adult</v>
      </c>
      <c r="H994" s="5" t="s">
        <v>2043</v>
      </c>
      <c r="I994" s="5" t="s">
        <v>2051</v>
      </c>
      <c r="J994" s="5" t="s">
        <v>2018</v>
      </c>
      <c r="K994" s="5" t="str">
        <f>VLOOKUP(J994,Sheet2!$A$1:$B$11,2,FALSE)</f>
        <v>Sportswear</v>
      </c>
      <c r="L994" s="5">
        <v>2</v>
      </c>
      <c r="M994" s="6">
        <v>748</v>
      </c>
      <c r="N994" s="6">
        <v>1496</v>
      </c>
      <c r="O994" s="7">
        <v>0.1</v>
      </c>
      <c r="P994" s="8">
        <f t="shared" si="30"/>
        <v>149.6</v>
      </c>
      <c r="Q994" s="9">
        <f t="shared" si="31"/>
        <v>1346.4</v>
      </c>
      <c r="R994" s="5">
        <v>26</v>
      </c>
      <c r="S994" s="5" t="s">
        <v>2034</v>
      </c>
      <c r="T994" s="5" t="s">
        <v>2037</v>
      </c>
    </row>
    <row r="995" spans="1:20" x14ac:dyDescent="0.25">
      <c r="A995" s="5" t="s">
        <v>1008</v>
      </c>
      <c r="B995" s="10">
        <v>45363</v>
      </c>
      <c r="C995" s="5" t="s">
        <v>1019</v>
      </c>
      <c r="D995" s="11" t="s">
        <v>2009</v>
      </c>
      <c r="E995" s="5" t="s">
        <v>3042</v>
      </c>
      <c r="F995" s="5">
        <v>48</v>
      </c>
      <c r="G995" s="5" t="str" cm="1">
        <f t="array" ref="G995">_xlfn.IFS(F995&lt;12,"Child",F995&lt;18,"Teen",F995&lt;25,"Young",F995&lt;40,"Adult",F995&lt;60,"Middle Age",F995&gt;=60,"Old")</f>
        <v>Middle Age</v>
      </c>
      <c r="H995" s="5" t="s">
        <v>2043</v>
      </c>
      <c r="I995" s="5" t="s">
        <v>2051</v>
      </c>
      <c r="J995" s="5" t="s">
        <v>2022</v>
      </c>
      <c r="K995" s="5" t="str">
        <f>VLOOKUP(J995,Sheet2!$A$1:$B$11,2,FALSE)</f>
        <v>Sportswear</v>
      </c>
      <c r="L995" s="5">
        <v>3</v>
      </c>
      <c r="M995" s="6">
        <v>345</v>
      </c>
      <c r="N995" s="6">
        <v>1035</v>
      </c>
      <c r="O995" s="7">
        <v>0.05</v>
      </c>
      <c r="P995" s="8">
        <f t="shared" si="30"/>
        <v>51.75</v>
      </c>
      <c r="Q995" s="9">
        <f t="shared" si="31"/>
        <v>983.25</v>
      </c>
      <c r="R995" s="5">
        <v>19</v>
      </c>
      <c r="S995" s="5" t="s">
        <v>2034</v>
      </c>
      <c r="T995" s="5" t="s">
        <v>2036</v>
      </c>
    </row>
    <row r="996" spans="1:20" x14ac:dyDescent="0.25">
      <c r="A996" s="5" t="s">
        <v>1009</v>
      </c>
      <c r="B996" s="10">
        <v>45571</v>
      </c>
      <c r="C996" s="5" t="s">
        <v>1015</v>
      </c>
      <c r="D996" s="11" t="s">
        <v>2010</v>
      </c>
      <c r="E996" s="5" t="s">
        <v>3043</v>
      </c>
      <c r="F996" s="5">
        <v>36</v>
      </c>
      <c r="G996" s="5" t="str" cm="1">
        <f t="array" ref="G996">_xlfn.IFS(F996&lt;12,"Child",F996&lt;18,"Teen",F996&lt;25,"Young",F996&lt;40,"Adult",F996&lt;60,"Middle Age",F996&gt;=60,"Old")</f>
        <v>Adult</v>
      </c>
      <c r="H996" s="5" t="s">
        <v>2044</v>
      </c>
      <c r="I996" s="5" t="s">
        <v>2049</v>
      </c>
      <c r="J996" s="5" t="s">
        <v>2020</v>
      </c>
      <c r="K996" s="5" t="str">
        <f>VLOOKUP(J996,Sheet2!$A$1:$B$11,2,FALSE)</f>
        <v>Summer Wear</v>
      </c>
      <c r="L996" s="5">
        <v>2</v>
      </c>
      <c r="M996" s="6">
        <v>1163</v>
      </c>
      <c r="N996" s="6">
        <v>2326</v>
      </c>
      <c r="O996" s="7">
        <v>0.15</v>
      </c>
      <c r="P996" s="8">
        <f t="shared" si="30"/>
        <v>348.9</v>
      </c>
      <c r="Q996" s="9">
        <f t="shared" si="31"/>
        <v>1977.1</v>
      </c>
      <c r="R996" s="5">
        <v>39</v>
      </c>
      <c r="S996" s="5" t="s">
        <v>2032</v>
      </c>
      <c r="T996" s="5" t="s">
        <v>2037</v>
      </c>
    </row>
    <row r="997" spans="1:20" x14ac:dyDescent="0.25">
      <c r="A997" s="5" t="s">
        <v>1010</v>
      </c>
      <c r="B997" s="10">
        <v>45582</v>
      </c>
      <c r="C997" s="5" t="s">
        <v>1018</v>
      </c>
      <c r="D997" s="11" t="s">
        <v>2011</v>
      </c>
      <c r="E997" s="5" t="s">
        <v>3044</v>
      </c>
      <c r="F997" s="5">
        <v>43</v>
      </c>
      <c r="G997" s="5" t="str" cm="1">
        <f t="array" ref="G997">_xlfn.IFS(F997&lt;12,"Child",F997&lt;18,"Teen",F997&lt;25,"Young",F997&lt;40,"Adult",F997&lt;60,"Middle Age",F997&gt;=60,"Old")</f>
        <v>Middle Age</v>
      </c>
      <c r="H997" s="5" t="s">
        <v>2043</v>
      </c>
      <c r="I997" s="5" t="s">
        <v>2015</v>
      </c>
      <c r="J997" s="5" t="s">
        <v>2016</v>
      </c>
      <c r="K997" s="5" t="str">
        <f>VLOOKUP(J997,Sheet2!$A$1:$B$11,2,FALSE)</f>
        <v>Winter Wear</v>
      </c>
      <c r="L997" s="5">
        <v>5</v>
      </c>
      <c r="M997" s="6">
        <v>859</v>
      </c>
      <c r="N997" s="6">
        <v>4295</v>
      </c>
      <c r="O997" s="7">
        <v>0.1</v>
      </c>
      <c r="P997" s="8">
        <f t="shared" si="30"/>
        <v>429.5</v>
      </c>
      <c r="Q997" s="9">
        <f t="shared" si="31"/>
        <v>3865.5</v>
      </c>
      <c r="R997" s="5">
        <v>77</v>
      </c>
      <c r="S997" s="5" t="s">
        <v>2034</v>
      </c>
      <c r="T997" s="5" t="s">
        <v>2037</v>
      </c>
    </row>
    <row r="998" spans="1:20" x14ac:dyDescent="0.25">
      <c r="A998" s="5" t="s">
        <v>1011</v>
      </c>
      <c r="B998" s="10">
        <v>45434</v>
      </c>
      <c r="C998" s="5" t="s">
        <v>1017</v>
      </c>
      <c r="D998" s="11" t="s">
        <v>2012</v>
      </c>
      <c r="E998" s="5" t="s">
        <v>3045</v>
      </c>
      <c r="F998" s="5">
        <v>52</v>
      </c>
      <c r="G998" s="5" t="str" cm="1">
        <f t="array" ref="G998">_xlfn.IFS(F998&lt;12,"Child",F998&lt;18,"Teen",F998&lt;25,"Young",F998&lt;40,"Adult",F998&lt;60,"Middle Age",F998&gt;=60,"Old")</f>
        <v>Middle Age</v>
      </c>
      <c r="H998" s="5" t="s">
        <v>2044</v>
      </c>
      <c r="I998" s="5" t="s">
        <v>2047</v>
      </c>
      <c r="J998" s="5" t="s">
        <v>2023</v>
      </c>
      <c r="K998" s="5" t="str">
        <f>VLOOKUP(J998,Sheet2!$A$1:$B$11,2,FALSE)</f>
        <v>Formal Wear</v>
      </c>
      <c r="L998" s="5">
        <v>5</v>
      </c>
      <c r="M998" s="6">
        <v>392</v>
      </c>
      <c r="N998" s="6">
        <v>1960</v>
      </c>
      <c r="O998" s="7">
        <v>0.2</v>
      </c>
      <c r="P998" s="8">
        <f t="shared" si="30"/>
        <v>392</v>
      </c>
      <c r="Q998" s="9">
        <f t="shared" si="31"/>
        <v>1568</v>
      </c>
      <c r="R998" s="5">
        <v>31</v>
      </c>
      <c r="S998" s="5" t="s">
        <v>2033</v>
      </c>
      <c r="T998" s="5" t="s">
        <v>2036</v>
      </c>
    </row>
    <row r="999" spans="1:20" x14ac:dyDescent="0.25">
      <c r="A999" s="5" t="s">
        <v>1012</v>
      </c>
      <c r="B999" s="10">
        <v>45508</v>
      </c>
      <c r="C999" s="5" t="s">
        <v>1015</v>
      </c>
      <c r="D999" s="11" t="s">
        <v>2013</v>
      </c>
      <c r="E999" s="5" t="s">
        <v>3046</v>
      </c>
      <c r="F999" s="5">
        <v>47</v>
      </c>
      <c r="G999" s="5" t="str" cm="1">
        <f t="array" ref="G999">_xlfn.IFS(F999&lt;12,"Child",F999&lt;18,"Teen",F999&lt;25,"Young",F999&lt;40,"Adult",F999&lt;60,"Middle Age",F999&gt;=60,"Old")</f>
        <v>Middle Age</v>
      </c>
      <c r="H999" s="5" t="s">
        <v>2044</v>
      </c>
      <c r="I999" s="5" t="s">
        <v>2053</v>
      </c>
      <c r="J999" s="5" t="s">
        <v>2019</v>
      </c>
      <c r="K999" s="5" t="str">
        <f>VLOOKUP(J999,Sheet2!$A$1:$B$11,2,FALSE)</f>
        <v>Formal Wear</v>
      </c>
      <c r="L999" s="5">
        <v>4</v>
      </c>
      <c r="M999" s="6">
        <v>933</v>
      </c>
      <c r="N999" s="6">
        <v>3732</v>
      </c>
      <c r="O999" s="7">
        <v>0.15</v>
      </c>
      <c r="P999" s="8">
        <f t="shared" si="30"/>
        <v>559.79999999999995</v>
      </c>
      <c r="Q999" s="9">
        <f t="shared" si="31"/>
        <v>3172.2</v>
      </c>
      <c r="R999" s="5">
        <v>63</v>
      </c>
      <c r="S999" s="5" t="s">
        <v>2033</v>
      </c>
      <c r="T999" s="5" t="s">
        <v>2036</v>
      </c>
    </row>
    <row r="1000" spans="1:20" x14ac:dyDescent="0.25">
      <c r="A1000" s="5" t="s">
        <v>1013</v>
      </c>
      <c r="B1000" s="10">
        <v>45488</v>
      </c>
      <c r="C1000" s="5" t="s">
        <v>1016</v>
      </c>
      <c r="D1000" s="11" t="s">
        <v>2014</v>
      </c>
      <c r="E1000" s="5" t="s">
        <v>3047</v>
      </c>
      <c r="F1000" s="5">
        <v>38</v>
      </c>
      <c r="G1000" s="5" t="str" cm="1">
        <f t="array" ref="G1000">_xlfn.IFS(F1000&lt;12,"Child",F1000&lt;18,"Teen",F1000&lt;25,"Young",F1000&lt;40,"Adult",F1000&lt;60,"Middle Age",F1000&gt;=60,"Old")</f>
        <v>Adult</v>
      </c>
      <c r="H1000" s="5" t="s">
        <v>2043</v>
      </c>
      <c r="I1000" s="5" t="s">
        <v>2047</v>
      </c>
      <c r="J1000" s="5" t="s">
        <v>2021</v>
      </c>
      <c r="K1000" s="5" t="str">
        <f>VLOOKUP(J1000,Sheet2!$A$1:$B$11,2,FALSE)</f>
        <v>Casual Wear</v>
      </c>
      <c r="L1000" s="5">
        <v>1</v>
      </c>
      <c r="M1000" s="6">
        <v>761</v>
      </c>
      <c r="N1000" s="6">
        <v>761</v>
      </c>
      <c r="O1000" s="7">
        <v>0.05</v>
      </c>
      <c r="P1000" s="8">
        <f t="shared" si="30"/>
        <v>38.050000000000004</v>
      </c>
      <c r="Q1000" s="9">
        <f t="shared" si="31"/>
        <v>722.95</v>
      </c>
      <c r="R1000" s="5">
        <v>14</v>
      </c>
      <c r="S1000" s="5" t="s">
        <v>2032</v>
      </c>
      <c r="T1000" s="5" t="s">
        <v>2035</v>
      </c>
    </row>
    <row r="1001" spans="1:20" x14ac:dyDescent="0.25">
      <c r="A1001" s="5" t="s">
        <v>2038</v>
      </c>
      <c r="B1001" s="10">
        <v>45488</v>
      </c>
      <c r="C1001" s="5" t="s">
        <v>1019</v>
      </c>
      <c r="D1001" s="11" t="s">
        <v>2006</v>
      </c>
      <c r="E1001" s="5" t="s">
        <v>3022</v>
      </c>
      <c r="F1001" s="5">
        <v>19</v>
      </c>
      <c r="G1001" s="5" t="str" cm="1">
        <f t="array" ref="G1001">_xlfn.IFS(F1001&lt;12,"Child",F1001&lt;18,"Teen",F1001&lt;25,"Young",F1001&lt;40,"Adult",F1001&lt;60,"Middle Age",F1001&gt;=60,"Old")</f>
        <v>Young</v>
      </c>
      <c r="H1001" s="5" t="s">
        <v>2044</v>
      </c>
      <c r="I1001" s="5" t="s">
        <v>2047</v>
      </c>
      <c r="J1001" s="5" t="s">
        <v>2021</v>
      </c>
      <c r="K1001" s="5" t="str">
        <f>VLOOKUP(J1001,Sheet2!$A$1:$B$11,2,FALSE)</f>
        <v>Casual Wear</v>
      </c>
      <c r="L1001" s="5">
        <v>1</v>
      </c>
      <c r="M1001" s="6">
        <v>933</v>
      </c>
      <c r="N1001" s="6">
        <v>933</v>
      </c>
      <c r="O1001" s="7">
        <v>0.15</v>
      </c>
      <c r="P1001" s="8">
        <f t="shared" si="30"/>
        <v>139.94999999999999</v>
      </c>
      <c r="Q1001" s="9">
        <f t="shared" si="31"/>
        <v>793.05</v>
      </c>
      <c r="R1001" s="5">
        <v>63</v>
      </c>
      <c r="S1001" s="5" t="s">
        <v>2033</v>
      </c>
      <c r="T1001" s="5" t="s">
        <v>2036</v>
      </c>
    </row>
    <row r="1002" spans="1:20" x14ac:dyDescent="0.25">
      <c r="A1002" s="5" t="s">
        <v>2039</v>
      </c>
      <c r="B1002" s="10">
        <v>45488</v>
      </c>
      <c r="C1002" s="5" t="s">
        <v>1017</v>
      </c>
      <c r="D1002" s="11" t="s">
        <v>2006</v>
      </c>
      <c r="E1002" s="5" t="s">
        <v>3023</v>
      </c>
      <c r="F1002" s="5">
        <v>53</v>
      </c>
      <c r="G1002" s="5" t="str" cm="1">
        <f t="array" ref="G1002">_xlfn.IFS(F1002&lt;12,"Child",F1002&lt;18,"Teen",F1002&lt;25,"Young",F1002&lt;40,"Adult",F1002&lt;60,"Middle Age",F1002&gt;=60,"Old")</f>
        <v>Middle Age</v>
      </c>
      <c r="H1002" s="5" t="s">
        <v>2044</v>
      </c>
      <c r="I1002" s="5" t="s">
        <v>2047</v>
      </c>
      <c r="J1002" s="5" t="s">
        <v>2021</v>
      </c>
      <c r="K1002" s="5" t="str">
        <f>VLOOKUP(J1002,Sheet2!$A$1:$B$11,2,FALSE)</f>
        <v>Casual Wear</v>
      </c>
      <c r="L1002" s="5">
        <v>1</v>
      </c>
      <c r="M1002" s="6">
        <v>933</v>
      </c>
      <c r="N1002" s="6">
        <v>933</v>
      </c>
      <c r="O1002" s="7">
        <v>0.15</v>
      </c>
      <c r="P1002" s="8">
        <f t="shared" si="30"/>
        <v>139.94999999999999</v>
      </c>
      <c r="Q1002" s="9">
        <f t="shared" si="31"/>
        <v>793.05</v>
      </c>
      <c r="R1002" s="5">
        <v>63</v>
      </c>
      <c r="S1002" s="5" t="s">
        <v>2033</v>
      </c>
      <c r="T1002" s="5" t="s">
        <v>2036</v>
      </c>
    </row>
    <row r="1003" spans="1:20" x14ac:dyDescent="0.25">
      <c r="A1003" s="5" t="s">
        <v>2040</v>
      </c>
      <c r="B1003" s="10">
        <v>45488</v>
      </c>
      <c r="C1003" s="5" t="s">
        <v>1018</v>
      </c>
      <c r="D1003" s="11" t="s">
        <v>2006</v>
      </c>
      <c r="E1003" s="5" t="s">
        <v>3024</v>
      </c>
      <c r="F1003" s="5">
        <v>56</v>
      </c>
      <c r="G1003" s="5" t="str" cm="1">
        <f t="array" ref="G1003">_xlfn.IFS(F1003&lt;12,"Child",F1003&lt;18,"Teen",F1003&lt;25,"Young",F1003&lt;40,"Adult",F1003&lt;60,"Middle Age",F1003&gt;=60,"Old")</f>
        <v>Middle Age</v>
      </c>
      <c r="H1003" s="5" t="s">
        <v>2044</v>
      </c>
      <c r="I1003" s="5" t="s">
        <v>2047</v>
      </c>
      <c r="J1003" s="5" t="s">
        <v>2021</v>
      </c>
      <c r="K1003" s="5" t="str">
        <f>VLOOKUP(J1003,Sheet2!$A$1:$B$11,2,FALSE)</f>
        <v>Casual Wear</v>
      </c>
      <c r="L1003" s="5">
        <v>1</v>
      </c>
      <c r="M1003" s="6">
        <v>933</v>
      </c>
      <c r="N1003" s="6">
        <v>933</v>
      </c>
      <c r="O1003" s="7">
        <v>0.15</v>
      </c>
      <c r="P1003" s="8">
        <f t="shared" si="30"/>
        <v>139.94999999999999</v>
      </c>
      <c r="Q1003" s="9">
        <f t="shared" si="31"/>
        <v>793.05</v>
      </c>
      <c r="R1003" s="5">
        <v>63</v>
      </c>
      <c r="S1003" s="5" t="s">
        <v>2033</v>
      </c>
      <c r="T1003" s="5" t="s">
        <v>2036</v>
      </c>
    </row>
    <row r="1004" spans="1:20" x14ac:dyDescent="0.25">
      <c r="A1004" s="5" t="s">
        <v>2041</v>
      </c>
      <c r="B1004" s="10">
        <v>45488</v>
      </c>
      <c r="C1004" s="5" t="s">
        <v>1014</v>
      </c>
      <c r="D1004" s="11" t="s">
        <v>2006</v>
      </c>
      <c r="E1004" s="5" t="s">
        <v>3025</v>
      </c>
      <c r="F1004" s="5">
        <v>58</v>
      </c>
      <c r="G1004" s="5" t="str" cm="1">
        <f t="array" ref="G1004">_xlfn.IFS(F1004&lt;12,"Child",F1004&lt;18,"Teen",F1004&lt;25,"Young",F1004&lt;40,"Adult",F1004&lt;60,"Middle Age",F1004&gt;=60,"Old")</f>
        <v>Middle Age</v>
      </c>
      <c r="H1004" s="5" t="s">
        <v>2044</v>
      </c>
      <c r="I1004" s="5" t="s">
        <v>2047</v>
      </c>
      <c r="J1004" s="5" t="s">
        <v>2021</v>
      </c>
      <c r="K1004" s="5" t="str">
        <f>VLOOKUP(J1004,Sheet2!$A$1:$B$11,2,FALSE)</f>
        <v>Casual Wear</v>
      </c>
      <c r="L1004" s="5">
        <v>1</v>
      </c>
      <c r="M1004" s="6">
        <v>933</v>
      </c>
      <c r="N1004" s="6">
        <v>933</v>
      </c>
      <c r="O1004" s="7">
        <v>0.15</v>
      </c>
      <c r="P1004" s="8">
        <f t="shared" si="30"/>
        <v>139.94999999999999</v>
      </c>
      <c r="Q1004" s="9">
        <f t="shared" si="31"/>
        <v>793.05</v>
      </c>
      <c r="R1004" s="5">
        <v>63</v>
      </c>
      <c r="S1004" s="5" t="s">
        <v>2033</v>
      </c>
      <c r="T1004" s="5" t="s">
        <v>2036</v>
      </c>
    </row>
    <row r="1005" spans="1:20" x14ac:dyDescent="0.25">
      <c r="A1005" s="5" t="s">
        <v>2042</v>
      </c>
      <c r="B1005" s="10">
        <v>45488</v>
      </c>
      <c r="C1005" s="5" t="s">
        <v>1020</v>
      </c>
      <c r="D1005" s="11" t="s">
        <v>2006</v>
      </c>
      <c r="E1005" s="5" t="s">
        <v>3026</v>
      </c>
      <c r="F1005" s="5">
        <v>59</v>
      </c>
      <c r="G1005" s="5" t="str" cm="1">
        <f t="array" ref="G1005">_xlfn.IFS(F1005&lt;12,"Child",F1005&lt;18,"Teen",F1005&lt;25,"Young",F1005&lt;40,"Adult",F1005&lt;60,"Middle Age",F1005&gt;=60,"Old")</f>
        <v>Middle Age</v>
      </c>
      <c r="H1005" s="5" t="s">
        <v>2044</v>
      </c>
      <c r="I1005" s="5" t="s">
        <v>2047</v>
      </c>
      <c r="J1005" s="5" t="s">
        <v>2021</v>
      </c>
      <c r="K1005" s="5" t="str">
        <f>VLOOKUP(J1005,Sheet2!$A$1:$B$11,2,FALSE)</f>
        <v>Casual Wear</v>
      </c>
      <c r="L1005" s="5">
        <v>1</v>
      </c>
      <c r="M1005" s="6">
        <v>933</v>
      </c>
      <c r="N1005" s="6">
        <v>933</v>
      </c>
      <c r="O1005" s="7">
        <v>0.15</v>
      </c>
      <c r="P1005" s="8">
        <f t="shared" si="30"/>
        <v>139.94999999999999</v>
      </c>
      <c r="Q1005" s="9">
        <f t="shared" si="31"/>
        <v>793.05</v>
      </c>
      <c r="R1005" s="5">
        <v>63</v>
      </c>
      <c r="S1005" s="5" t="s">
        <v>2033</v>
      </c>
      <c r="T1005" s="5" t="s">
        <v>2036</v>
      </c>
    </row>
    <row r="1006" spans="1:20" x14ac:dyDescent="0.25">
      <c r="F1006"/>
      <c r="G1006"/>
      <c r="H1006"/>
      <c r="I1006"/>
    </row>
    <row r="1007" spans="1:20" x14ac:dyDescent="0.25">
      <c r="F1007"/>
      <c r="G1007"/>
      <c r="H1007"/>
      <c r="I1007"/>
    </row>
    <row r="1008" spans="1:20" x14ac:dyDescent="0.25">
      <c r="F1008"/>
      <c r="G1008"/>
      <c r="H1008"/>
      <c r="I1008"/>
    </row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</sheetData>
  <autoFilter ref="A1:U1005" xr:uid="{00000000-0001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967-33F6-4A8F-B593-25ECFDDA68FA}">
  <dimension ref="A1:B11"/>
  <sheetViews>
    <sheetView workbookViewId="0">
      <selection activeCell="B1" sqref="B1"/>
    </sheetView>
  </sheetViews>
  <sheetFormatPr defaultRowHeight="15" x14ac:dyDescent="0.25"/>
  <cols>
    <col min="1" max="1" width="19.85546875" bestFit="1" customWidth="1"/>
    <col min="2" max="2" width="29.5703125" bestFit="1" customWidth="1"/>
  </cols>
  <sheetData>
    <row r="1" spans="1:2" ht="23.25" x14ac:dyDescent="0.25">
      <c r="A1" s="1" t="s">
        <v>7</v>
      </c>
      <c r="B1" s="1" t="s">
        <v>8</v>
      </c>
    </row>
    <row r="2" spans="1:2" ht="23.25" x14ac:dyDescent="0.25">
      <c r="A2" s="2" t="s">
        <v>2021</v>
      </c>
      <c r="B2" s="2" t="s">
        <v>2027</v>
      </c>
    </row>
    <row r="3" spans="1:2" ht="23.25" x14ac:dyDescent="0.25">
      <c r="A3" s="2" t="s">
        <v>2025</v>
      </c>
      <c r="B3" s="2" t="s">
        <v>2029</v>
      </c>
    </row>
    <row r="4" spans="1:2" ht="23.25" x14ac:dyDescent="0.25">
      <c r="A4" s="2" t="s">
        <v>2017</v>
      </c>
      <c r="B4" s="2" t="s">
        <v>2027</v>
      </c>
    </row>
    <row r="5" spans="1:2" ht="23.25" x14ac:dyDescent="0.25">
      <c r="A5" s="2" t="s">
        <v>2016</v>
      </c>
      <c r="B5" s="2" t="s">
        <v>2026</v>
      </c>
    </row>
    <row r="6" spans="1:2" ht="23.25" x14ac:dyDescent="0.25">
      <c r="A6" s="2" t="s">
        <v>2020</v>
      </c>
      <c r="B6" s="2" t="s">
        <v>2030</v>
      </c>
    </row>
    <row r="7" spans="1:2" ht="23.25" x14ac:dyDescent="0.25">
      <c r="A7" s="2" t="s">
        <v>2018</v>
      </c>
      <c r="B7" s="2" t="s">
        <v>2028</v>
      </c>
    </row>
    <row r="8" spans="1:2" ht="23.25" x14ac:dyDescent="0.25">
      <c r="A8" s="2" t="s">
        <v>2019</v>
      </c>
      <c r="B8" s="2" t="s">
        <v>2029</v>
      </c>
    </row>
    <row r="9" spans="1:2" ht="23.25" x14ac:dyDescent="0.25">
      <c r="A9" s="2" t="s">
        <v>2022</v>
      </c>
      <c r="B9" s="2" t="s">
        <v>2028</v>
      </c>
    </row>
    <row r="10" spans="1:2" ht="23.25" x14ac:dyDescent="0.25">
      <c r="A10" s="2" t="s">
        <v>2023</v>
      </c>
      <c r="B10" s="2" t="s">
        <v>2029</v>
      </c>
    </row>
    <row r="11" spans="1:2" ht="23.25" x14ac:dyDescent="0.25">
      <c r="A11" s="2" t="s">
        <v>2024</v>
      </c>
      <c r="B11" s="2" t="s">
        <v>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2025-03-05T03:08:49Z</dcterms:created>
  <dcterms:modified xsi:type="dcterms:W3CDTF">2025-03-05T22:05:42Z</dcterms:modified>
</cp:coreProperties>
</file>